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 Summary" sheetId="1" state="visible" r:id="rId3"/>
    <sheet name="Assumptions" sheetId="2" state="visible" r:id="rId4"/>
    <sheet name="Takeoff" sheetId="3" state="visible" r:id="rId5"/>
    <sheet name="Countertop" sheetId="4" state="visible" r:id="rId6"/>
    <sheet name="Showers" sheetId="5" state="visible" r:id="rId7"/>
    <sheet name="Setting Materials" sheetId="6" state="visible" r:id="rId8"/>
    <sheet name="Open Items &amp; Risks"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5" authorId="0">
      <text>
        <r>
          <rPr>
            <sz val="10"/>
            <rFont val="Arial"/>
            <family val="2"/>
          </rPr>
          <t xml:space="preserve">Placeholder box size. Replace with the selected product's actual box coverage.</t>
        </r>
      </text>
    </comment>
    <comment ref="G6" authorId="0">
      <text>
        <r>
          <rPr>
            <sz val="10"/>
            <rFont val="Arial"/>
            <family val="2"/>
          </rPr>
          <t xml:space="preserve">Placeholder box size. Replace with the selected product's actual box coverage.</t>
        </r>
      </text>
    </comment>
    <comment ref="G7" authorId="0">
      <text>
        <r>
          <rPr>
            <sz val="10"/>
            <rFont val="Arial"/>
            <family val="2"/>
          </rPr>
          <t xml:space="preserve">Placeholder box size. Replace with the selected product's actual box coverage.</t>
        </r>
      </text>
    </comment>
    <comment ref="G8" authorId="0">
      <text>
        <r>
          <rPr>
            <sz val="10"/>
            <rFont val="Arial"/>
            <family val="2"/>
          </rPr>
          <t xml:space="preserve">Placeholder box size. Replace with the selected product's actual box coverage.</t>
        </r>
      </text>
    </comment>
    <comment ref="G9" authorId="0">
      <text>
        <r>
          <rPr>
            <sz val="10"/>
            <rFont val="Arial"/>
            <family val="2"/>
          </rPr>
          <t xml:space="preserve">Placeholder box size. Replace with the selected product's actual box coverage.</t>
        </r>
      </text>
    </comment>
    <comment ref="H10" authorId="0">
      <text>
        <r>
          <rPr>
            <sz val="10"/>
            <rFont val="Arial"/>
            <family val="2"/>
          </rPr>
          <t xml:space="preserve">Slab count comes from the layout check on the Countertop tab, not SF division.</t>
        </r>
      </text>
    </comment>
  </commentList>
</comments>
</file>

<file path=xl/sharedStrings.xml><?xml version="1.0" encoding="utf-8"?>
<sst xmlns="http://schemas.openxmlformats.org/spreadsheetml/2006/main" count="836" uniqueCount="534">
  <si>
    <t xml:space="preserve">52 Paramount Terrace: Final Material Purchase Summary</t>
  </si>
  <si>
    <t xml:space="preserve">Tile, flooring and stone · 25% waste · recalculated from permit set A1-A7 (09/07/2026), bath plans, cabinet sheets and kitchen render · prepared 09/25/2026</t>
  </si>
  <si>
    <t xml:space="preserve">Product</t>
  </si>
  <si>
    <t xml:space="preserve">Recommended spec (CA contractor)</t>
  </si>
  <si>
    <t xml:space="preserve">Where</t>
  </si>
  <si>
    <t xml:space="preserve">Net SF (calc)</t>
  </si>
  <si>
    <t xml:space="preserve">Waste</t>
  </si>
  <si>
    <t xml:space="preserve">Order SF</t>
  </si>
  <si>
    <t xml:space="preserve">Box / sheet coverage (SF)</t>
  </si>
  <si>
    <t xml:space="preserve">Boxes to order</t>
  </si>
  <si>
    <t xml:space="preserve">SF delivered</t>
  </si>
  <si>
    <t xml:space="preserve">Status</t>
  </si>
  <si>
    <t xml:space="preserve">Notes</t>
  </si>
  <si>
    <t xml:space="preserve">Flooring</t>
  </si>
  <si>
    <t xml:space="preserve">Rigid-core LVP (SPC), light natural oak look per render, ~9" x 60" plank, 20-mil wear layer, attached pad, waterproof</t>
  </si>
  <si>
    <t xml:space="preserve">All rooms, 1F + 2F (not baths)</t>
  </si>
  <si>
    <t xml:space="preserve">SCALED</t>
  </si>
  <si>
    <t xml:space="preserve">Continuous with no transitions between rooms. Because every floor is new, the permit's 'match existing' note is met. Stairs are on Setting Materials. About 190 SF (halls, closets, stair landing) is scaled off the plan, so field verify.</t>
  </si>
  <si>
    <t xml:space="preserve">Bath floor tile</t>
  </si>
  <si>
    <t xml:space="preserve">12" x 24" rectified porcelain, matte, DCOF &gt;= 0.42 wet, warm light neutral</t>
  </si>
  <si>
    <t xml:space="preserve">Baths 1, 2, 3 (outside shower)</t>
  </si>
  <si>
    <t xml:space="preserve">VERIFIED</t>
  </si>
  <si>
    <t xml:space="preserve">One product and one dye lot for all 3 baths. Lay offset 1/3, not 1/2, to control lippage.</t>
  </si>
  <si>
    <t xml:space="preserve">Shower wall tile</t>
  </si>
  <si>
    <t xml:space="preserve">12" x 24" porcelain, same series as the floor (or matching wall body), stacked or 1/3 offset</t>
  </si>
  <si>
    <t xml:space="preserve">3 showers, floor to ceiling</t>
  </si>
  <si>
    <t xml:space="preserve">Includes window returns, niche returns and curb faces. Tile is inside the shower only.</t>
  </si>
  <si>
    <t xml:space="preserve">Shower floor mosaic</t>
  </si>
  <si>
    <t xml:space="preserve">2" x 2" porcelain mosaic on 12" x 12" mesh, matte / slip-resistant, same color family</t>
  </si>
  <si>
    <t xml:space="preserve">3 shower pans</t>
  </si>
  <si>
    <t xml:space="preserve">Center drain with 1/4" per ft slope. Small tiles follow the 4-way slope.</t>
  </si>
  <si>
    <t xml:space="preserve">Backsplash tile</t>
  </si>
  <si>
    <t xml:space="preserve">8" x 8" encaustic-look (cement pattern) porcelain per render</t>
  </si>
  <si>
    <t xml:space="preserve">Kitchen, counter to uppers</t>
  </si>
  <si>
    <t xml:space="preserve">ASSUMPTION</t>
  </si>
  <si>
    <t xml:space="preserve">Window sills are assumed 4" above the counter (render). If they're higher, re-run: the full band is 31.1 SF net / 39 SF order.</t>
  </si>
  <si>
    <t xml:space="preserve">Quartz countertop</t>
  </si>
  <si>
    <t xml:space="preserve">3 cm quartz, white / soft-vein per render, eased edge, undermount sink</t>
  </si>
  <si>
    <t xml:space="preserve">Kitchen + 3 curb caps + 3 niche sills</t>
  </si>
  <si>
    <t xml:space="preserve">1 JUMBO slab (126" x 63"). Countertops fit either size, but only the jumbo leaves a 12" strip for the curb caps. See Countertop tab.</t>
  </si>
  <si>
    <t xml:space="preserve">Unit for column H: boxes (tile/LVP), sheets-boxes (mosaic), slabs (quartz). Yellow cells = replace with the selected product's box coverage before release.</t>
  </si>
  <si>
    <t xml:space="preserve">Breakdown by location (use for staging deliveries)</t>
  </si>
  <si>
    <t xml:space="preserve">Location</t>
  </si>
  <si>
    <t xml:space="preserve">Level</t>
  </si>
  <si>
    <t xml:space="preserve">Floor tile net</t>
  </si>
  <si>
    <t xml:space="preserve">Floor tile order</t>
  </si>
  <si>
    <t xml:space="preserve">Wall tile net</t>
  </si>
  <si>
    <t xml:space="preserve">Wall tile order</t>
  </si>
  <si>
    <t xml:space="preserve">Mosaic net</t>
  </si>
  <si>
    <t xml:space="preserve">Mosaic order</t>
  </si>
  <si>
    <t xml:space="preserve">Total order SF</t>
  </si>
  <si>
    <t xml:space="preserve">Bath 3</t>
  </si>
  <si>
    <t xml:space="preserve">1F</t>
  </si>
  <si>
    <t xml:space="preserve">Bath 1</t>
  </si>
  <si>
    <t xml:space="preserve">2F</t>
  </si>
  <si>
    <t xml:space="preserve">Bath 2</t>
  </si>
  <si>
    <t xml:space="preserve">Total</t>
  </si>
  <si>
    <t xml:space="preserve">Per-bath orders are rounded separately, so their sum can run 1-2 SF above the product total in the table above. Order to the product total.</t>
  </si>
  <si>
    <t xml:space="preserve">Flooring by level</t>
  </si>
  <si>
    <t xml:space="preserve">Net SF</t>
  </si>
  <si>
    <t xml:space="preserve">Level totals are rounded per level, so they can run 1 SF above the flooring total.</t>
  </si>
  <si>
    <t xml:space="preserve">Color key: Blue = input · Green = link to another tab · Black = formula · Yellow = replace with the selected product's data. Status: VERIFIED / SCALED / ASSUMPTION / RECOMMENDED / HOLD.</t>
  </si>
  <si>
    <t xml:space="preserve">Assumptions &amp; Inputs</t>
  </si>
  <si>
    <t xml:space="preserve">Blue = input you can change. Every formula in the workbook reads from here. 52 Paramount Terrace, SF 94118 · Block/Lot 1166/043</t>
  </si>
  <si>
    <t xml:space="preserve">Parameter</t>
  </si>
  <si>
    <t xml:space="preserve">Value</t>
  </si>
  <si>
    <t xml:space="preserve">Unit</t>
  </si>
  <si>
    <t xml:space="preserve">Source / basis</t>
  </si>
  <si>
    <t xml:space="preserve">Waste factor (all tile, flooring, stone)</t>
  </si>
  <si>
    <t xml:space="preserve">%</t>
  </si>
  <si>
    <t xml:space="preserve">User instruction: 25% on every line. Also covers pattern matching on the backsplash.</t>
  </si>
  <si>
    <t xml:space="preserve">Bathroom wall / ceiling height</t>
  </si>
  <si>
    <t xml:space="preserve">in</t>
  </si>
  <si>
    <t xml:space="preserve">User-provided: 101 1/8". Shower tile runs floor to ceiling.</t>
  </si>
  <si>
    <t xml:space="preserve">Countertop depth</t>
  </si>
  <si>
    <t xml:space="preserve">24" cabinet depth (2'-0" on the lower cabinet sheet) + 1.5" front overhang</t>
  </si>
  <si>
    <t xml:space="preserve">Backsplash height (counter to underside of uppers)</t>
  </si>
  <si>
    <t xml:space="preserve">Standard 36" counter to 54" upper bottom. The render shows tile running from counter to uppers.</t>
  </si>
  <si>
    <t xml:space="preserve">Window sill height above countertop</t>
  </si>
  <si>
    <t xml:space="preserve">From the render (short tile band under the sink window). FIELD VERIFY: sill heights for W3, W5 and W6 aren't on the plans.</t>
  </si>
  <si>
    <t xml:space="preserve">Niche width (finished opening)</t>
  </si>
  <si>
    <t xml:space="preserve">Recommended: 12" x 24" prefab waterproof niche, fits between 16" o.c. studs</t>
  </si>
  <si>
    <t xml:space="preserve">Niche height (finished opening)</t>
  </si>
  <si>
    <t xml:space="preserve">Recommended</t>
  </si>
  <si>
    <t xml:space="preserve">Niche depth (tiled returns)</t>
  </si>
  <si>
    <t xml:space="preserve">2x4 stud cavity, less backer</t>
  </si>
  <si>
    <t xml:space="preserve">Window return depth (W11 jambs/sill/head)</t>
  </si>
  <si>
    <t xml:space="preserve">2x4 wall + backer + tile. Field verify.</t>
  </si>
  <si>
    <t xml:space="preserve">Curb face tile strip (outside 4.5" + inside 5")</t>
  </si>
  <si>
    <t xml:space="preserve">Recommended 4.5" curb (CPC 408.5: 2"-9" above drain). The quartz cap covers the curb top.</t>
  </si>
  <si>
    <t xml:space="preserve">Curb cap width (quartz)</t>
  </si>
  <si>
    <t xml:space="preserve">Matches a 4 1/2" foam curb. At 4.5" two rows fit in the jumbo slab's 9.5" leftover strip (5" does not).</t>
  </si>
  <si>
    <t xml:space="preserve">Bath 1 partition wall end (tiled)</t>
  </si>
  <si>
    <t xml:space="preserve">Wall end exposed at the glass line</t>
  </si>
  <si>
    <t xml:space="preserve">LFT mortar coverage (12x24, back-buttered)</t>
  </si>
  <si>
    <t xml:space="preserve">SF/50 lb</t>
  </si>
  <si>
    <t xml:space="preserve">Typical manufacturer range, 1/2" notch</t>
  </si>
  <si>
    <t xml:space="preserve">Modified thinset coverage (mosaic, backsplash)</t>
  </si>
  <si>
    <t xml:space="preserve">Typical, 1/4" square notch</t>
  </si>
  <si>
    <t xml:space="preserve">Grout density (cementitious, sanded)</t>
  </si>
  <si>
    <t xml:space="preserve">lb/in³</t>
  </si>
  <si>
    <t xml:space="preserve">~100 lb/ft³</t>
  </si>
  <si>
    <t xml:space="preserve">Waterproof foam backer board sheet</t>
  </si>
  <si>
    <t xml:space="preserve">SF</t>
  </si>
  <si>
    <t xml:space="preserve">4'x8' sheet (Kerdi-Board / Wedi type)</t>
  </si>
  <si>
    <t xml:space="preserve">Uncoupling / waterproof floor membrane roll</t>
  </si>
  <si>
    <t xml:space="preserve">Standard roll size (Ditra type)</t>
  </si>
  <si>
    <t xml:space="preserve">Tile edge trim stick length</t>
  </si>
  <si>
    <t xml:space="preserve">Standard 8'-2 1/2" profile. It's SHORTER than the 101 1/8" wall, so each edge needs 2 pieces or a 10' custom length.</t>
  </si>
  <si>
    <t xml:space="preserve">Backer board / membrane overage</t>
  </si>
  <si>
    <t xml:space="preserve">Cut waste on board</t>
  </si>
  <si>
    <t xml:space="preserve">Takeoff Detail: every line, every dimension</t>
  </si>
  <si>
    <t xml:space="preserve">Dimensions in inches from the permit set, bath plans and cabinet sheets. Net SF = Length x Width x Count / 144, or the plan label SF x Count. Negative count = deduction.</t>
  </si>
  <si>
    <t xml:space="preserve">ID</t>
  </si>
  <si>
    <t xml:space="preserve">Item</t>
  </si>
  <si>
    <t xml:space="preserve">Length (in)</t>
  </si>
  <si>
    <t xml:space="preserve">Width / Height (in)</t>
  </si>
  <si>
    <t xml:space="preserve">Count (+/-)</t>
  </si>
  <si>
    <t xml:space="preserve">Plan label SF</t>
  </si>
  <si>
    <t xml:space="preserve">Source / notes</t>
  </si>
  <si>
    <t xml:space="preserve">FLOORING: Rigid-core LVP, all rooms (bathrooms get tile)</t>
  </si>
  <si>
    <t xml:space="preserve">F1</t>
  </si>
  <si>
    <t xml:space="preserve">Bedroom 2 (room)</t>
  </si>
  <si>
    <t xml:space="preserve">Bedroom 2</t>
  </si>
  <si>
    <t xml:space="preserve">A2: 8'-8" + 3'-7 1/2" = 12'-3 1/2" wide x 11'-5 1/2"</t>
  </si>
  <si>
    <t xml:space="preserve">F2</t>
  </si>
  <si>
    <t xml:space="preserve">Bedroom 2 closet</t>
  </si>
  <si>
    <t xml:space="preserve">2'-0" deep dimensioned, length scaled ~8'-7". Room + closet = 158 SF vs 156.9 SF label, which checks out.</t>
  </si>
  <si>
    <t xml:space="preserve">F3</t>
  </si>
  <si>
    <t xml:space="preserve">Bedroom 3 incl. closet</t>
  </si>
  <si>
    <t xml:space="preserve">Bedroom 3</t>
  </si>
  <si>
    <t xml:space="preserve">A2: 10'-9" x 11'-5 1/2" = 123.2 SF (plan label 116 SF is low). Over new floor assembly on the garage slab, A7 detail 4.</t>
  </si>
  <si>
    <t xml:space="preserve">F4</t>
  </si>
  <si>
    <t xml:space="preserve">Laundry (W/D)</t>
  </si>
  <si>
    <t xml:space="preserve">Laundry</t>
  </si>
  <si>
    <t xml:space="preserve">A2 plan label</t>
  </si>
  <si>
    <t xml:space="preserve">F5</t>
  </si>
  <si>
    <t xml:space="preserve">Linen</t>
  </si>
  <si>
    <t xml:space="preserve">F6</t>
  </si>
  <si>
    <t xml:space="preserve">Garage nook</t>
  </si>
  <si>
    <t xml:space="preserve">F7</t>
  </si>
  <si>
    <t xml:space="preserve">Hall</t>
  </si>
  <si>
    <t xml:space="preserve">1F Hall</t>
  </si>
  <si>
    <t xml:space="preserve">Not dimensioned. Scaled ~17'-1" x 3'-9". Field measure.</t>
  </si>
  <si>
    <t xml:space="preserve">F8</t>
  </si>
  <si>
    <t xml:space="preserve">Entry / stair landing area</t>
  </si>
  <si>
    <t xml:space="preserve">1F Stairs</t>
  </si>
  <si>
    <t xml:space="preserve">12'-7 1/2" dimensioned, depth scaled ~6'-9"</t>
  </si>
  <si>
    <t xml:space="preserve">F9</t>
  </si>
  <si>
    <t xml:space="preserve">Less stair flight footprint</t>
  </si>
  <si>
    <t xml:space="preserve">Stair treads are counted separately on Setting Materials</t>
  </si>
  <si>
    <t xml:space="preserve">F10</t>
  </si>
  <si>
    <t xml:space="preserve">Living room</t>
  </si>
  <si>
    <t xml:space="preserve">A3 plan label</t>
  </si>
  <si>
    <t xml:space="preserve">F11</t>
  </si>
  <si>
    <t xml:space="preserve">Kitchen &amp; dining</t>
  </si>
  <si>
    <t xml:space="preserve">F12</t>
  </si>
  <si>
    <t xml:space="preserve">Less base cabinets, window wall (excl. range)</t>
  </si>
  <si>
    <t xml:space="preserve">34 1/4 + 34 1/8 + 19 1/2 + 46. Floating LVP installs AFTER the cabinets and doesn't go under them. It still runs under the range, fridge and DW.</t>
  </si>
  <si>
    <t xml:space="preserve">F13</t>
  </si>
  <si>
    <t xml:space="preserve">Less base cabinets, left wall (excl. DW and corner)</t>
  </si>
  <si>
    <t xml:space="preserve">45 3/8 - 24 corner + 10 filler/cabinet</t>
  </si>
  <si>
    <t xml:space="preserve">F14</t>
  </si>
  <si>
    <t xml:space="preserve">Primary bedroom</t>
  </si>
  <si>
    <t xml:space="preserve">F15</t>
  </si>
  <si>
    <t xml:space="preserve">Pantry</t>
  </si>
  <si>
    <t xml:space="preserve">F16</t>
  </si>
  <si>
    <t xml:space="preserve">Primary closet</t>
  </si>
  <si>
    <t xml:space="preserve">5'-4" dimensioned, depth scaled ~3'-6"</t>
  </si>
  <si>
    <t xml:space="preserve">F17</t>
  </si>
  <si>
    <t xml:space="preserve">2F Hall</t>
  </si>
  <si>
    <t xml:space="preserve">Not dimensioned. Scaled ~3'-2" x 7'-6".</t>
  </si>
  <si>
    <t xml:space="preserve">F18</t>
  </si>
  <si>
    <t xml:space="preserve">Foyer</t>
  </si>
  <si>
    <t xml:space="preserve">A3 existing-plan label (unchanged)</t>
  </si>
  <si>
    <t xml:space="preserve">BATHROOM FLOOR TILE: outside the shower</t>
  </si>
  <si>
    <t xml:space="preserve">BF1</t>
  </si>
  <si>
    <t xml:space="preserve">Room gross</t>
  </si>
  <si>
    <t xml:space="preserve">Bath plan 67 1/2" x 137 5/8" = 64.5 SF (matches label)</t>
  </si>
  <si>
    <t xml:space="preserve">BF2</t>
  </si>
  <si>
    <t xml:space="preserve">Less shower pan</t>
  </si>
  <si>
    <t xml:space="preserve">Shower 67 1/2" x 37"</t>
  </si>
  <si>
    <t xml:space="preserve">BF3</t>
  </si>
  <si>
    <t xml:space="preserve">Common bath 90 1/4" x 89 1/8" = 55.9 SF (label 60 SF is high)</t>
  </si>
  <si>
    <t xml:space="preserve">BF4</t>
  </si>
  <si>
    <t xml:space="preserve">Shower 37 1/2" x 45 1/4"</t>
  </si>
  <si>
    <t xml:space="preserve">BF5</t>
  </si>
  <si>
    <t xml:space="preserve">Primary bath 70 1/4" x 77 7/8" = 38.0 SF</t>
  </si>
  <si>
    <t xml:space="preserve">BF6</t>
  </si>
  <si>
    <t xml:space="preserve">Shower 32 3/8" x 38"</t>
  </si>
  <si>
    <t xml:space="preserve">SHOWER WALL TILE: inside the shower only, floor to ceiling</t>
  </si>
  <si>
    <t xml:space="preserve">SW1</t>
  </si>
  <si>
    <t xml:space="preserve">Back wall (exterior, W11)</t>
  </si>
  <si>
    <t xml:space="preserve">Full room width</t>
  </si>
  <si>
    <t xml:space="preserve">SW2</t>
  </si>
  <si>
    <t xml:space="preserve">Left side wall (valve wall)</t>
  </si>
  <si>
    <t xml:space="preserve">SW3</t>
  </si>
  <si>
    <t xml:space="preserve">Right side wall (niche wall)</t>
  </si>
  <si>
    <t xml:space="preserve">Interior wall shared with Bedroom 3</t>
  </si>
  <si>
    <t xml:space="preserve">SW4</t>
  </si>
  <si>
    <t xml:space="preserve">Less window W11</t>
  </si>
  <si>
    <t xml:space="preserve">W11 30" x 41 1/4" per A5 size (A5 mislabels its location)</t>
  </si>
  <si>
    <t xml:space="preserve">SW5</t>
  </si>
  <si>
    <t xml:space="preserve">Add W11 returns (jambs, sill, head)</t>
  </si>
  <si>
    <t xml:space="preserve">Perimeter 2x30 + 2x41.25. Return depth per Assumptions.</t>
  </si>
  <si>
    <t xml:space="preserve">SW6</t>
  </si>
  <si>
    <t xml:space="preserve">Niche returns (opening/back net zero)</t>
  </si>
  <si>
    <t xml:space="preserve">RECOMMENDED</t>
  </si>
  <si>
    <t xml:space="preserve">Tiling the niche back replaces the wall tile cut out for the opening</t>
  </si>
  <si>
    <t xml:space="preserve">SW7</t>
  </si>
  <si>
    <t xml:space="preserve">Curb faces</t>
  </si>
  <si>
    <t xml:space="preserve">Straight curb across the full width</t>
  </si>
  <si>
    <t xml:space="preserve">SW8</t>
  </si>
  <si>
    <t xml:space="preserve">Back wall (exterior, valve wall)</t>
  </si>
  <si>
    <t xml:space="preserve">SW9</t>
  </si>
  <si>
    <t xml:space="preserve">Left side wall (niche wall)</t>
  </si>
  <si>
    <t xml:space="preserve">Interior wall</t>
  </si>
  <si>
    <t xml:space="preserve">SW10</t>
  </si>
  <si>
    <t xml:space="preserve">Partition wall (door side)</t>
  </si>
  <si>
    <t xml:space="preserve">Full-height partition between the shower and the door</t>
  </si>
  <si>
    <t xml:space="preserve">SW11</t>
  </si>
  <si>
    <t xml:space="preserve">Partition wall end at glass</t>
  </si>
  <si>
    <t xml:space="preserve">Exposed wall end</t>
  </si>
  <si>
    <t xml:space="preserve">SW12</t>
  </si>
  <si>
    <t xml:space="preserve">Niche returns</t>
  </si>
  <si>
    <t xml:space="preserve">SW13</t>
  </si>
  <si>
    <t xml:space="preserve">Curb on the open (glass) side</t>
  </si>
  <si>
    <t xml:space="preserve">SW14</t>
  </si>
  <si>
    <t xml:space="preserve">SW15</t>
  </si>
  <si>
    <t xml:space="preserve">Left wall (exterior, niche wall)</t>
  </si>
  <si>
    <t xml:space="preserve">W13 is outside the shower at 60" AFF, so there's no deduction</t>
  </si>
  <si>
    <t xml:space="preserve">SW16</t>
  </si>
  <si>
    <t xml:space="preserve">Exterior wall: keep insulation behind the niche (see Showers tab)</t>
  </si>
  <si>
    <t xml:space="preserve">SW17</t>
  </si>
  <si>
    <t xml:space="preserve">Curb faces (L-curb, 2 glass sides)</t>
  </si>
  <si>
    <t xml:space="preserve">32 3/8" + 38"</t>
  </si>
  <si>
    <t xml:space="preserve">SHOWER FLOOR MOSAIC</t>
  </si>
  <si>
    <t xml:space="preserve">SM1</t>
  </si>
  <si>
    <t xml:space="preserve">Shower pan</t>
  </si>
  <si>
    <t xml:space="preserve">SM2</t>
  </si>
  <si>
    <t xml:space="preserve">SM3</t>
  </si>
  <si>
    <t xml:space="preserve">KITCHEN BACKSPLASH: patterned tile per render, counter to underside of uppers</t>
  </si>
  <si>
    <t xml:space="preserve">BS1</t>
  </si>
  <si>
    <t xml:space="preserve">Left wall run (DW / corner)</t>
  </si>
  <si>
    <t xml:space="preserve">Kitchen</t>
  </si>
  <si>
    <t xml:space="preserve">115" wall run - 36" refrigerator</t>
  </si>
  <si>
    <t xml:space="preserve">BS2</t>
  </si>
  <si>
    <t xml:space="preserve">Less W6 (corner window) in band</t>
  </si>
  <si>
    <t xml:space="preserve">W6 12" wide. Tile below the sill only.</t>
  </si>
  <si>
    <t xml:space="preserve">BS3</t>
  </si>
  <si>
    <t xml:space="preserve">Window wall run (sink / range / 46" base)</t>
  </si>
  <si>
    <t xml:space="preserve">34 1/4 + 34 1/8 + 19 1/2 + 36 + 46. Tile runs behind the range to the hood/upper.</t>
  </si>
  <si>
    <t xml:space="preserve">BS4</t>
  </si>
  <si>
    <t xml:space="preserve">Less W5 (sink window) in band</t>
  </si>
  <si>
    <t xml:space="preserve">W5 74 1/4". Render: no uppers over the window, tile below the sill only.</t>
  </si>
  <si>
    <t xml:space="preserve">BS5</t>
  </si>
  <si>
    <t xml:space="preserve">Less W3 overlap with 46" counter</t>
  </si>
  <si>
    <t xml:space="preserve">W3 starts ~133" from the corner; the counter ends at 169 7/8"</t>
  </si>
  <si>
    <t xml:space="preserve">KITCHEN COUNTERTOP &amp; STONE ACCESSORIES: 3 cm quartz, one jumbo slab (see Countertop tab)</t>
  </si>
  <si>
    <t xml:space="preserve">CT1</t>
  </si>
  <si>
    <t xml:space="preserve">Quartz</t>
  </si>
  <si>
    <t xml:space="preserve">Window wall, corner to range (sink)</t>
  </si>
  <si>
    <t xml:space="preserve">34 1/4 + 34 1/8 + 19 1/2, includes the corner square</t>
  </si>
  <si>
    <t xml:space="preserve">CT2</t>
  </si>
  <si>
    <t xml:space="preserve">Left wall leg to refrigerator</t>
  </si>
  <si>
    <t xml:space="preserve">79" - 25 1/2" corner overlap</t>
  </si>
  <si>
    <t xml:space="preserve">CT3</t>
  </si>
  <si>
    <t xml:space="preserve">Right of range (46" base)</t>
  </si>
  <si>
    <t xml:space="preserve">Shown in the render. Dashed on the cabinet sheet, so confirm it's in the cabinet order.</t>
  </si>
  <si>
    <t xml:space="preserve">CT4</t>
  </si>
  <si>
    <t xml:space="preserve">Shower curb caps (3)</t>
  </si>
  <si>
    <t xml:space="preserve">Baths</t>
  </si>
  <si>
    <t xml:space="preserve">1F/2F</t>
  </si>
  <si>
    <t xml:space="preserve">67.5 + 45.25 + 70.375. Cut from the slab's 12" leftover strip.</t>
  </si>
  <si>
    <t xml:space="preserve">CT5</t>
  </si>
  <si>
    <t xml:space="preserve">Niche shelves / sills (3)</t>
  </si>
  <si>
    <t xml:space="preserve">Pitched sill, slab remnant</t>
  </si>
  <si>
    <t xml:space="preserve">Blue = typed dimension from drawings · Green = linked to Assumptions · Black bold = formula. Status: VERIFIED = dimensioned on drawings or plan label; SCALED = measured off the plan, so field verify; ASSUMPTION = inferred; RECOMMENDED = contractor recommendation.</t>
  </si>
  <si>
    <t xml:space="preserve">Countertop &amp; Slab Check</t>
  </si>
  <si>
    <t xml:space="preserve">Quartz, 3 cm, eased edge (per render). The fabricator templates on site after the cabinets are set; nothing is cut off these drawings.</t>
  </si>
  <si>
    <t xml:space="preserve">Input / check</t>
  </si>
  <si>
    <t xml:space="preserve">Jumbo slab</t>
  </si>
  <si>
    <t xml:space="preserve">Standard slab</t>
  </si>
  <si>
    <t xml:space="preserve">Slab length (in)</t>
  </si>
  <si>
    <t xml:space="preserve">Typical quartz sizes. Confirm with the supplier.</t>
  </si>
  <si>
    <t xml:space="preserve">Slab width (in)</t>
  </si>
  <si>
    <t xml:space="preserve">Edge trim each side (in)</t>
  </si>
  <si>
    <t xml:space="preserve">Factory edge removed</t>
  </si>
  <si>
    <t xml:space="preserve">Saw kerf (in)</t>
  </si>
  <si>
    <t xml:space="preserve">Slab area (SF)</t>
  </si>
  <si>
    <t xml:space="preserve">Countertop net SF (CT1-CT3)</t>
  </si>
  <si>
    <t xml:space="preserve">Countertop SF with waste</t>
  </si>
  <si>
    <t xml:space="preserve">Strip 1: CT1 length needed (in)</t>
  </si>
  <si>
    <t xml:space="preserve">Sink piece</t>
  </si>
  <si>
    <t xml:space="preserve">Strip 2: CT2 + CT3 + kerf (in)</t>
  </si>
  <si>
    <t xml:space="preserve">Usable length (in)</t>
  </si>
  <si>
    <t xml:space="preserve">Width left after two 25.5" strips (in)</t>
  </si>
  <si>
    <t xml:space="preserve">Leftover strip for curb caps</t>
  </si>
  <si>
    <t xml:space="preserve">Curb-cap rows that fit (at cap width + kerf)</t>
  </si>
  <si>
    <t xml:space="preserve">Curb caps total length needed (in)</t>
  </si>
  <si>
    <t xml:space="preserve">67.5 + 45.25 + 70.375</t>
  </si>
  <si>
    <t xml:space="preserve">Countertops fit on one slab?</t>
  </si>
  <si>
    <t xml:space="preserve">Curb caps also fit from the same slab?</t>
  </si>
  <si>
    <t xml:space="preserve">The 3 niche sills (12"x4") come from the strip 1 remnant</t>
  </si>
  <si>
    <t xml:space="preserve">Waste check: SF with waste &lt;= slab SF?</t>
  </si>
  <si>
    <t xml:space="preserve">RECOMMENDATION</t>
  </si>
  <si>
    <t xml:space="preserve">ORDER 1 JUMBO</t>
  </si>
  <si>
    <t xml:space="preserve">A jumbo 126"x63" slab covers all countertops, the 3 curb caps and the niche sills. A standard slab fits the countertops but not the caps.</t>
  </si>
  <si>
    <t xml:space="preserve">Piece list (templated sizes will change slightly)</t>
  </si>
  <si>
    <t xml:space="preserve">Piece</t>
  </si>
  <si>
    <t xml:space="preserve">Depth (in)</t>
  </si>
  <si>
    <t xml:space="preserve">CT1 Window wall, corner to range</t>
  </si>
  <si>
    <t xml:space="preserve">sink cutout; undermount recommended</t>
  </si>
  <si>
    <t xml:space="preserve">CT2 Left wall leg</t>
  </si>
  <si>
    <t xml:space="preserve">seam at corner; not at the sink</t>
  </si>
  <si>
    <t xml:space="preserve">CT3 Right of range</t>
  </si>
  <si>
    <t xml:space="preserve">exposed end: finished/eased end</t>
  </si>
  <si>
    <t xml:space="preserve">Curb cap Bath 3</t>
  </si>
  <si>
    <t xml:space="preserve">4 1/2" wide, pitch 1/8" toward shower</t>
  </si>
  <si>
    <t xml:space="preserve">Curb cap Bath 1</t>
  </si>
  <si>
    <t xml:space="preserve">4 1/2" wide</t>
  </si>
  <si>
    <t xml:space="preserve">Curb cap Bath 2 (L, 2 pcs)</t>
  </si>
  <si>
    <t xml:space="preserve">32 3/8" + 38", mitered corner</t>
  </si>
  <si>
    <t xml:space="preserve">Niche sills x3</t>
  </si>
  <si>
    <t xml:space="preserve">4" deep, pitched</t>
  </si>
  <si>
    <t xml:space="preserve">Shower Specifications (contractor recommendation)</t>
  </si>
  <si>
    <t xml:space="preserve">Full glass enclosures, tile inside the shower only, floor to ceiling at 101 1/8". Based on the permit plans; field verify after framing.</t>
  </si>
  <si>
    <t xml:space="preserve">Spec item</t>
  </si>
  <si>
    <t xml:space="preserve">Bath 3 (1F)</t>
  </si>
  <si>
    <t xml:space="preserve">Bath 1 (2F, common)</t>
  </si>
  <si>
    <t xml:space="preserve">Bath 2 (2F, primary)</t>
  </si>
  <si>
    <t xml:space="preserve">Shower size (in)</t>
  </si>
  <si>
    <t xml:space="preserve">67 1/2" x 37"</t>
  </si>
  <si>
    <t xml:space="preserve">37 1/2" x 45 1/4"</t>
  </si>
  <si>
    <t xml:space="preserve">32 3/8" x 38"</t>
  </si>
  <si>
    <t xml:space="preserve">Pan area (SF)</t>
  </si>
  <si>
    <t xml:space="preserve">Wall tile net SF</t>
  </si>
  <si>
    <t xml:space="preserve">Tiled walls</t>
  </si>
  <si>
    <t xml:space="preserve">3: back (exterior, W11), left (valve), right</t>
  </si>
  <si>
    <t xml:space="preserve">3: back (exterior, valve), left, partition by door</t>
  </si>
  <si>
    <t xml:space="preserve">2: back (exterior, valve), left (exterior, W13 side)</t>
  </si>
  <si>
    <t xml:space="preserve">Open side(s) / glass</t>
  </si>
  <si>
    <t xml:space="preserve">Front (67 1/2")</t>
  </si>
  <si>
    <t xml:space="preserve">Right side (45 1/4")</t>
  </si>
  <si>
    <t xml:space="preserve">Front (32 3/8") + side (38"), 90° corner</t>
  </si>
  <si>
    <t xml:space="preserve">Glass enclosure</t>
  </si>
  <si>
    <t xml:space="preserve">Inline: fixed panel + 24" swing door</t>
  </si>
  <si>
    <t xml:space="preserve">Corner: door + fixed panel on the front, fixed return panel on the side</t>
  </si>
  <si>
    <t xml:space="preserve">Glass spec</t>
  </si>
  <si>
    <t xml:space="preserve">3/8" tempered, 78" high, clear/low-iron, CRC R308.4.5 safety glazing</t>
  </si>
  <si>
    <t xml:space="preserve">same</t>
  </si>
  <si>
    <t xml:space="preserve">Door opening</t>
  </si>
  <si>
    <t xml:space="preserve">Min. 22" clear (CPC 408.5). Swing out.</t>
  </si>
  <si>
    <t xml:space="preserve">Min. 22" clear</t>
  </si>
  <si>
    <t xml:space="preserve">Min. 22" clear. The 32 3/8" front leaves room for a ~24" door + ~8" panel.</t>
  </si>
  <si>
    <t xml:space="preserve">Measure glass</t>
  </si>
  <si>
    <t xml:space="preserve">After tile is complete</t>
  </si>
  <si>
    <t xml:space="preserve">Niche</t>
  </si>
  <si>
    <t xml:space="preserve">1 @ 12" W x 24" H x 3 1/2" D, prefab waterproof</t>
  </si>
  <si>
    <t xml:space="preserve">1 @ 12" x 24" x 3 1/2"</t>
  </si>
  <si>
    <t xml:space="preserve">Niche location</t>
  </si>
  <si>
    <t xml:space="preserve">Right wall (interior, shared with Bedroom 3), centered, bottom at ~42" AFF</t>
  </si>
  <si>
    <t xml:space="preserve">Left wall (interior), centered, bottom at ~42" AFF</t>
  </si>
  <si>
    <t xml:space="preserve">Left wall. It's an EXTERIOR wall, so keep insulation behind the niche (1" rigid foam + prefab niche) per Title 24, or confirm 2x6 framing.</t>
  </si>
  <si>
    <t xml:space="preserve">Niche sill</t>
  </si>
  <si>
    <t xml:space="preserve">Quartz remnant, pitched</t>
  </si>
  <si>
    <t xml:space="preserve">Window in shower</t>
  </si>
  <si>
    <t xml:space="preserve">W11 30" x 41 1/4": tempered glass, vinyl or fiberglass frame, sloped tiled sill, waterproofed returns</t>
  </si>
  <si>
    <t xml:space="preserve">None</t>
  </si>
  <si>
    <t xml:space="preserve">None (W13 is outside the shower)</t>
  </si>
  <si>
    <t xml:space="preserve">Curb</t>
  </si>
  <si>
    <t xml:space="preserve">4 1/2" high foam curb, 67 1/2" long</t>
  </si>
  <si>
    <t xml:space="preserve">4 1/2" high, 45 1/4" long</t>
  </si>
  <si>
    <t xml:space="preserve">4 1/2" L-curb, 32 3/8" + 38"</t>
  </si>
  <si>
    <t xml:space="preserve">Curbless?</t>
  </si>
  <si>
    <t xml:space="preserve">Not recommended: needs framing recess</t>
  </si>
  <si>
    <t xml:space="preserve">Not recommended: needs 2F joist recess, and the permit says no structural changes</t>
  </si>
  <si>
    <t xml:space="preserve">Not recommended (same)</t>
  </si>
  <si>
    <t xml:space="preserve">Curb cap</t>
  </si>
  <si>
    <t xml:space="preserve">Quartz, 4 1/2" wide</t>
  </si>
  <si>
    <t xml:space="preserve">Quartz, 4 1/2" wide, mitered corner</t>
  </si>
  <si>
    <t xml:space="preserve">Drain</t>
  </si>
  <si>
    <t xml:space="preserve">2" center drain with bonding flange, 4" square grate</t>
  </si>
  <si>
    <t xml:space="preserve">2" center drain, 4" square grate</t>
  </si>
  <si>
    <t xml:space="preserve">Pan / waterproofing</t>
  </si>
  <si>
    <t xml:space="preserve">Pre-sloped foam tray or mortar bed + bonded sheet membrane (CPC 408.7), flood test 24 hr before tile</t>
  </si>
  <si>
    <t xml:space="preserve">Wall backer</t>
  </si>
  <si>
    <t xml:space="preserve">1/2" waterproof foam board, seams banded (A4: approved tile backer at wet areas)</t>
  </si>
  <si>
    <t xml:space="preserve">Bath floor outside shower</t>
  </si>
  <si>
    <t xml:space="preserve">Uncoupling membrane over subfloor, 12x24 porcelain</t>
  </si>
  <si>
    <t xml:space="preserve">same (over 2F wood framing)</t>
  </si>
  <si>
    <t xml:space="preserve">Edge trim</t>
  </si>
  <si>
    <t xml:space="preserve">2 vertical edges at the glass line, 101 1/8" each</t>
  </si>
  <si>
    <t xml:space="preserve">2 vertical edges</t>
  </si>
  <si>
    <t xml:space="preserve">Valve wall</t>
  </si>
  <si>
    <t xml:space="preserve">Left side wall</t>
  </si>
  <si>
    <t xml:space="preserve">Back wall</t>
  </si>
  <si>
    <t xml:space="preserve">Setting Materials &amp; Accessories</t>
  </si>
  <si>
    <t xml:space="preserve">Quantities come from the net SF on the Takeoff tab. Coverage rates are on the Assumptions tab. Confirm against the selected manufacturer's data sheets.</t>
  </si>
  <si>
    <t xml:space="preserve">Basis / formula</t>
  </si>
  <si>
    <t xml:space="preserve">Qty (calc)</t>
  </si>
  <si>
    <t xml:space="preserve">Order qty</t>
  </si>
  <si>
    <t xml:space="preserve">LFT mortar, 50 lb (12x24 floor + walls + curbs)</t>
  </si>
  <si>
    <t xml:space="preserve">(floor + wall tile net) x 1.10 / coverage</t>
  </si>
  <si>
    <t xml:space="preserve">bags</t>
  </si>
  <si>
    <t xml:space="preserve">Large-and-heavy-tile mortar. Back-butter the 12x24s.</t>
  </si>
  <si>
    <t xml:space="preserve">Modified thinset, 50 lb (mosaic + backsplash)</t>
  </si>
  <si>
    <t xml:space="preserve">(mosaic + backsplash) x 1.10 / coverage</t>
  </si>
  <si>
    <t xml:space="preserve">White thinset under light-colored tile</t>
  </si>
  <si>
    <t xml:space="preserve">Grout: 12x24 porcelain (1/8" joint, 3/8" thick)</t>
  </si>
  <si>
    <t xml:space="preserve">lb/SF = (L+W)/(LxW) x joint x depth x 144 x density</t>
  </si>
  <si>
    <t xml:space="preserve">lb</t>
  </si>
  <si>
    <t xml:space="preserve">High-performance or urethane grout recommended in showers. Round to the manufacturer's pack.</t>
  </si>
  <si>
    <t xml:space="preserve">Grout: 2x2 mosaic (1/8" joint, 1/4" thick)</t>
  </si>
  <si>
    <t xml:space="preserve">same formula</t>
  </si>
  <si>
    <t xml:space="preserve">Epoxy grout recommended on shower floors</t>
  </si>
  <si>
    <t xml:space="preserve">Grout: 8x8 backsplash (1/16" joint, 3/8" thick)</t>
  </si>
  <si>
    <t xml:space="preserve">Unsanded</t>
  </si>
  <si>
    <t xml:space="preserve">Waterproof foam backer board, 4'x8'</t>
  </si>
  <si>
    <t xml:space="preserve">gross shower wall SF x (1+overage) / 32</t>
  </si>
  <si>
    <t xml:space="preserve">sheets</t>
  </si>
  <si>
    <t xml:space="preserve">Plus manufacturer seam band, corners, pipe seals and fasteners/washers</t>
  </si>
  <si>
    <t xml:space="preserve">Pre-sloped shower tray or mortar bed kit</t>
  </si>
  <si>
    <t xml:space="preserve">1 per shower</t>
  </si>
  <si>
    <t xml:space="preserve">each</t>
  </si>
  <si>
    <t xml:space="preserve">Bath 3 tray must be trimmed to 67 1/2" x 37"</t>
  </si>
  <si>
    <t xml:space="preserve">Bonding-flange shower drain, 2", 4" square grate</t>
  </si>
  <si>
    <t xml:space="preserve">Prefab foam shower curb</t>
  </si>
  <si>
    <t xml:space="preserve">Bath 2 L-curb = 2 pcs</t>
  </si>
  <si>
    <t xml:space="preserve">pcs</t>
  </si>
  <si>
    <t xml:space="preserve">4 1/2" high</t>
  </si>
  <si>
    <t xml:space="preserve">Prefab waterproof niche, 12" x 24"</t>
  </si>
  <si>
    <t xml:space="preserve">1 per shower (user confirmed niches)</t>
  </si>
  <si>
    <t xml:space="preserve">Bath 2 niche in exterior wall: add rigid foam behind</t>
  </si>
  <si>
    <t xml:space="preserve">Uncoupling / waterproof floor membrane</t>
  </si>
  <si>
    <t xml:space="preserve">bath floor net x (1+overage) / roll</t>
  </si>
  <si>
    <t xml:space="preserve">rolls</t>
  </si>
  <si>
    <t xml:space="preserve">All 3 bath floors</t>
  </si>
  <si>
    <t xml:space="preserve">Tile edge trim (vertical edges at glass)</t>
  </si>
  <si>
    <t xml:space="preserve">6 edges x 101 1/8"; stick 98.5" is too short, so 2 pcs per edge</t>
  </si>
  <si>
    <t xml:space="preserve">sticks</t>
  </si>
  <si>
    <t xml:space="preserve">Or order 3 m (118") custom lengths: 6 pcs</t>
  </si>
  <si>
    <t xml:space="preserve">Tile edge trim, window W11 outside corners</t>
  </si>
  <si>
    <t xml:space="preserve">4 edges, 30" / 41 1/4"</t>
  </si>
  <si>
    <t xml:space="preserve">100% silicone, color-matched</t>
  </si>
  <si>
    <t xml:space="preserve">changes of plane, glass, curb, backsplash</t>
  </si>
  <si>
    <t xml:space="preserve">tubes</t>
  </si>
  <si>
    <t xml:space="preserve">Don't grout inside corners</t>
  </si>
  <si>
    <t xml:space="preserve">Tile leveling clips + wedges</t>
  </si>
  <si>
    <t xml:space="preserve">12x24 tile count x 3</t>
  </si>
  <si>
    <t xml:space="preserve">clips</t>
  </si>
  <si>
    <t xml:space="preserve">Order a 500- or 1,000-count kit</t>
  </si>
  <si>
    <t xml:space="preserve">LVP stair treads + risers (1F to 2F)</t>
  </si>
  <si>
    <t xml:space="preserve">Tread count not on plans; estimated</t>
  </si>
  <si>
    <t xml:space="preserve">sets</t>
  </si>
  <si>
    <t xml:space="preserve">HOLD: count the treads in the field. Stairs 'existing to remain' per A2.</t>
  </si>
  <si>
    <t xml:space="preserve">LVP flush stair nose (top landing)</t>
  </si>
  <si>
    <t xml:space="preserve">1 at the 2F landing</t>
  </si>
  <si>
    <t xml:space="preserve">pc</t>
  </si>
  <si>
    <t xml:space="preserve">LVP reducer / transition to bath tile</t>
  </si>
  <si>
    <t xml:space="preserve">3 bath doorways</t>
  </si>
  <si>
    <t xml:space="preserve">Match LVP to tile height. Check the tile + membrane build-up.</t>
  </si>
  <si>
    <t xml:space="preserve">LVP end cap / threshold at exterior doors</t>
  </si>
  <si>
    <t xml:space="preserve">1F entry, 2F foyer to porch, hall to garage</t>
  </si>
  <si>
    <t xml:space="preserve">Garage door is the rated self-closing door, so the threshold must not interfere with latching</t>
  </si>
  <si>
    <t xml:space="preserve">Slab moisture test (Bedroom 3 and any 1F slab areas)</t>
  </si>
  <si>
    <t xml:space="preserve">RH probe per ASTM F2170</t>
  </si>
  <si>
    <t xml:space="preserve">test</t>
  </si>
  <si>
    <t xml:space="preserve">Required by most LVP warranties over concrete</t>
  </si>
  <si>
    <t xml:space="preserve">Baseboard</t>
  </si>
  <si>
    <t xml:space="preserve">All rooms get new flooring, so base comes off</t>
  </si>
  <si>
    <t xml:space="preserve">LF</t>
  </si>
  <si>
    <t xml:space="preserve">Field measure. Not part of this takeoff.</t>
  </si>
  <si>
    <t xml:space="preserve">Open Items &amp; Contractor Risks</t>
  </si>
  <si>
    <t xml:space="preserve">Resolve the HOLD items before releasing the related PO line.</t>
  </si>
  <si>
    <t xml:space="preserve">#</t>
  </si>
  <si>
    <t xml:space="preserve">Why it matters</t>
  </si>
  <si>
    <t xml:space="preserve">Affects</t>
  </si>
  <si>
    <t xml:space="preserve">Needed from</t>
  </si>
  <si>
    <t xml:space="preserve">Priority</t>
  </si>
  <si>
    <t xml:space="preserve">Kitchen window sill heights (W3, W5, W6)</t>
  </si>
  <si>
    <t xml:space="preserve">The backsplash is based on sills 4" above the counter (render). Each inch higher adds tile. Full band = 39 SF order vs 24 SF now.</t>
  </si>
  <si>
    <t xml:space="preserve">Field measure</t>
  </si>
  <si>
    <t xml:space="preserve">HOLD</t>
  </si>
  <si>
    <t xml:space="preserve">Cabinet sheet shows uppers in front of W5 and W3</t>
  </si>
  <si>
    <t xml:space="preserve">The render shows no uppers over the windows. The hanging cabinet sheet must be revised before the cabinet PO.</t>
  </si>
  <si>
    <t xml:space="preserve">Cabinets, backsplash</t>
  </si>
  <si>
    <t xml:space="preserve">Designer</t>
  </si>
  <si>
    <t xml:space="preserve">Range hood not on the cabinet sheet</t>
  </si>
  <si>
    <t xml:space="preserve">The render shows an insert hood in the uppers over the range. Confirm the hood model, CFM and duct route (A4 'RH').</t>
  </si>
  <si>
    <t xml:space="preserve">HIGH</t>
  </si>
  <si>
    <t xml:space="preserve">46" base right of the range</t>
  </si>
  <si>
    <t xml:space="preserve">It's in the render but dashed on the cabinet sheet and missing from A3. It affects CT3 (8.1 SF) and 21 SF of backsplash.</t>
  </si>
  <si>
    <t xml:space="preserve">Quartz, backsplash, cabinets</t>
  </si>
  <si>
    <t xml:space="preserve">Owner / designer</t>
  </si>
  <si>
    <t xml:space="preserve">Product box coverage</t>
  </si>
  <si>
    <t xml:space="preserve">Summary column G has placeholder box sizes. Actual boxes change the SF delivered.</t>
  </si>
  <si>
    <t xml:space="preserve">All tile, LVP</t>
  </si>
  <si>
    <t xml:space="preserve">Supplier</t>
  </si>
  <si>
    <t xml:space="preserve">Hall, closet and stair-landing areas are scaled</t>
  </si>
  <si>
    <t xml:space="preserve">About 190 SF of flooring was scaled off the plan because it isn't dimensioned. The permit says 'do not scale drawings.'</t>
  </si>
  <si>
    <t xml:space="preserve">MED</t>
  </si>
  <si>
    <t xml:space="preserve">Stair tread count</t>
  </si>
  <si>
    <t xml:space="preserve">Not on the plans. Estimated at 14 treads.</t>
  </si>
  <si>
    <t xml:space="preserve">Stair treads</t>
  </si>
  <si>
    <t xml:space="preserve">Field count</t>
  </si>
  <si>
    <t xml:space="preserve">Bath 2 niche in exterior wall</t>
  </si>
  <si>
    <t xml:space="preserve">Insulation and Title 24 continuity behind the niche. Alternative: a corner shelf.</t>
  </si>
  <si>
    <t xml:space="preserve">Niche, framing</t>
  </si>
  <si>
    <t xml:space="preserve">Contractor / T24</t>
  </si>
  <si>
    <t xml:space="preserve">W11 inside the Bath 3 shower</t>
  </si>
  <si>
    <t xml:space="preserve">Tempered glass is required. Waterproof the returns, slope the sill, use a vinyl or fiberglass frame. It's a leak and warranty risk.</t>
  </si>
  <si>
    <t xml:space="preserve">Wall tile, window</t>
  </si>
  <si>
    <t xml:space="preserve">Contractor</t>
  </si>
  <si>
    <t xml:space="preserve">A5 window schedule locations mislabeled</t>
  </si>
  <si>
    <t xml:space="preserve">W7 is labeled Bath 3 but is on 2F; W11 is labeled Primary Bedroom but is in the Bath 3 shower. Correct before permit issuance or inspection.</t>
  </si>
  <si>
    <t xml:space="preserve">Windows</t>
  </si>
  <si>
    <t xml:space="preserve">Plan area labels vs dimensions</t>
  </si>
  <si>
    <t xml:space="preserve">Bath 1 label 60 SF vs 55.9 SF measured; Bedroom 3 label 116 SF vs 123.2 SF. This workbook uses dimensions.</t>
  </si>
  <si>
    <t xml:space="preserve">Flooring, bath tile</t>
  </si>
  <si>
    <t xml:space="preserve">Designer (FYI)</t>
  </si>
  <si>
    <t xml:space="preserve">LOW</t>
  </si>
  <si>
    <t xml:space="preserve">Dye lot / lead time on patterned backsplash</t>
  </si>
  <si>
    <t xml:space="preserve">Patterned tile is often special order. A short order later won't match. Order in one lot and keep 1 spare box.</t>
  </si>
  <si>
    <t xml:space="preserve">Backsplash</t>
  </si>
  <si>
    <t xml:space="preserve">Purchasing</t>
  </si>
  <si>
    <t xml:space="preserve">Slab release</t>
  </si>
  <si>
    <t xml:space="preserve">Reserve the slab by lot now. Fabricate only from the field template after cabinets are set.</t>
  </si>
  <si>
    <t xml:space="preserve">Fabricator</t>
  </si>
  <si>
    <t xml:space="preserve">Uneven floors / slab</t>
  </si>
  <si>
    <t xml:space="preserve">Leveling compound may be needed at Bedroom 3 (over garage slab) and at 2F. LVP needs 3/16" in 10' flatness.</t>
  </si>
  <si>
    <t xml:space="preserve">Bath 2 shower size</t>
  </si>
  <si>
    <t xml:space="preserve">32 3/8" framed-to-framed shrinks ~1" after board and tile. Verify it still meets the CPC 408.6 minimum (1,024 sq in, 30" circle).</t>
  </si>
  <si>
    <t xml:space="preserve">Bath 2 shower</t>
  </si>
</sst>
</file>

<file path=xl/styles.xml><?xml version="1.0" encoding="utf-8"?>
<styleSheet xmlns="http://schemas.openxmlformats.org/spreadsheetml/2006/main">
  <numFmts count="9">
    <numFmt numFmtId="164" formatCode="General"/>
    <numFmt numFmtId="165" formatCode="0.0"/>
    <numFmt numFmtId="166" formatCode="0%"/>
    <numFmt numFmtId="167" formatCode="#,##0"/>
    <numFmt numFmtId="168" formatCode="0.00"/>
    <numFmt numFmtId="169" formatCode="0"/>
    <numFmt numFmtId="170" formatCode="#,##0.0"/>
    <numFmt numFmtId="171" formatCode="0.###"/>
    <numFmt numFmtId="172" formatCode="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i val="true"/>
      <sz val="9"/>
      <name val="Arial"/>
      <family val="0"/>
      <charset val="1"/>
    </font>
    <font>
      <b val="true"/>
      <sz val="12"/>
      <name val="Arial"/>
      <family val="0"/>
      <charset val="1"/>
    </font>
    <font>
      <sz val="10"/>
      <name val="Arial"/>
      <family val="2"/>
    </font>
  </fonts>
  <fills count="10">
    <fill>
      <patternFill patternType="none"/>
    </fill>
    <fill>
      <patternFill patternType="gray125"/>
    </fill>
    <fill>
      <patternFill patternType="solid">
        <fgColor rgb="FF1F3A5F"/>
        <bgColor rgb="FF333333"/>
      </patternFill>
    </fill>
    <fill>
      <patternFill patternType="solid">
        <fgColor rgb="FFFFFF00"/>
        <bgColor rgb="FFFFFF00"/>
      </patternFill>
    </fill>
    <fill>
      <patternFill patternType="solid">
        <fgColor rgb="FFFFEB9C"/>
        <bgColor rgb="FFF2F2F2"/>
      </patternFill>
    </fill>
    <fill>
      <patternFill patternType="solid">
        <fgColor rgb="FFC6EFCE"/>
        <bgColor rgb="FFDCE6F1"/>
      </patternFill>
    </fill>
    <fill>
      <patternFill patternType="solid">
        <fgColor rgb="FFF2F2F2"/>
        <bgColor rgb="FFDDEBF7"/>
      </patternFill>
    </fill>
    <fill>
      <patternFill patternType="solid">
        <fgColor rgb="FFDCE6F1"/>
        <bgColor rgb="FFDDEBF7"/>
      </patternFill>
    </fill>
    <fill>
      <patternFill patternType="solid">
        <fgColor rgb="FFDDEBF7"/>
        <bgColor rgb="FFDCE6F1"/>
      </patternFill>
    </fill>
    <fill>
      <patternFill patternType="solid">
        <fgColor rgb="FFFFC7CE"/>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9" fillId="3"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5" fontId="7" fillId="6" borderId="1" xfId="0" applyFont="true" applyBorder="true" applyAlignment="true" applyProtection="false">
      <alignment horizontal="general" vertical="top" textRotation="0" wrapText="true" indent="0" shrinkToFit="false"/>
      <protection locked="true" hidden="false"/>
    </xf>
    <xf numFmtId="169" fontId="7" fillId="6"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71" fontId="9" fillId="0" borderId="1" xfId="0" applyFont="true" applyBorder="true" applyAlignment="true" applyProtection="false">
      <alignment horizontal="general" vertical="top" textRotation="0" wrapText="true" indent="0" shrinkToFit="false"/>
      <protection locked="true" hidden="false"/>
    </xf>
    <xf numFmtId="172"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7" fillId="7" borderId="0"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right" vertical="top" textRotation="0" wrapText="false" indent="0" shrinkToFit="false"/>
      <protection locked="true" hidden="false"/>
    </xf>
    <xf numFmtId="169" fontId="9" fillId="0" borderId="1" xfId="0" applyFont="true" applyBorder="true" applyAlignment="true" applyProtection="false">
      <alignment horizontal="right" vertical="top" textRotation="0" wrapText="false" indent="0" shrinkToFit="false"/>
      <protection locked="true" hidden="false"/>
    </xf>
    <xf numFmtId="165" fontId="9" fillId="0" borderId="1" xfId="0" applyFont="true" applyBorder="true" applyAlignment="true" applyProtection="false">
      <alignment horizontal="right"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72" fontId="10" fillId="0" borderId="1" xfId="0" applyFont="true" applyBorder="true" applyAlignment="true" applyProtection="false">
      <alignment horizontal="right" vertical="top" textRotation="0" wrapText="fals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8" fontId="9" fillId="0" borderId="1" xfId="0" applyFont="true" applyBorder="true" applyAlignment="true" applyProtection="false">
      <alignment horizontal="right" vertical="bottom" textRotation="0" wrapText="false" indent="0" shrinkToFit="false"/>
      <protection locked="true" hidden="false"/>
    </xf>
    <xf numFmtId="168" fontId="8" fillId="0" borderId="1" xfId="0" applyFont="true" applyBorder="true" applyAlignment="true" applyProtection="false">
      <alignment horizontal="right" vertical="bottom" textRotation="0" wrapText="false" indent="0" shrinkToFit="false"/>
      <protection locked="true" hidden="false"/>
    </xf>
    <xf numFmtId="168" fontId="7" fillId="5"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71"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left" vertical="bottom" textRotation="0" wrapText="fals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26"/>
    <col collapsed="false" customWidth="true" hidden="false" outlineLevel="0" max="4" min="4" style="0" width="11"/>
    <col collapsed="false" customWidth="true" hidden="false" outlineLevel="0" max="5" min="5" style="0" width="8"/>
    <col collapsed="false" customWidth="true" hidden="false" outlineLevel="0" max="6" min="6" style="0" width="10"/>
    <col collapsed="false" customWidth="true" hidden="false" outlineLevel="0" max="7" min="7" style="0" width="12"/>
    <col collapsed="false" customWidth="true" hidden="false" outlineLevel="0" max="9" min="8" style="0" width="10"/>
    <col collapsed="false" customWidth="true" hidden="false" outlineLevel="0" max="10" min="10" style="0" width="13"/>
    <col collapsed="false" customWidth="true" hidden="false" outlineLevel="0" max="11" min="11" style="0" width="52"/>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35.05" hidden="false" customHeight="false" outlineLevel="0" collapsed="false">
      <c r="A5" s="4" t="s">
        <v>13</v>
      </c>
      <c r="B5" s="5" t="s">
        <v>14</v>
      </c>
      <c r="C5" s="5" t="s">
        <v>15</v>
      </c>
      <c r="D5" s="6" t="n">
        <f aca="false">SUMIFS(Takeoff!$J$5:$J$64,Takeoff!$B$5:$B$64,"Flooring")</f>
        <v>1253.15486111111</v>
      </c>
      <c r="E5" s="7" t="n">
        <f aca="false">Assumptions!$B$5</f>
        <v>0.25</v>
      </c>
      <c r="F5" s="8" t="n">
        <f aca="false">ROUNDUP(D5*(1+E5),0)</f>
        <v>1567</v>
      </c>
      <c r="G5" s="9" t="n">
        <v>23</v>
      </c>
      <c r="H5" s="10" t="n">
        <f aca="false">ROUNDUP(F5/G5,0)</f>
        <v>69</v>
      </c>
      <c r="I5" s="11" t="n">
        <f aca="false">H5*G5</f>
        <v>1587</v>
      </c>
      <c r="J5" s="12" t="s">
        <v>16</v>
      </c>
      <c r="K5" s="5" t="s">
        <v>17</v>
      </c>
    </row>
    <row r="6" customFormat="false" ht="23.85" hidden="false" customHeight="false" outlineLevel="0" collapsed="false">
      <c r="A6" s="4" t="s">
        <v>18</v>
      </c>
      <c r="B6" s="5" t="s">
        <v>19</v>
      </c>
      <c r="C6" s="5" t="s">
        <v>20</v>
      </c>
      <c r="D6" s="6" t="n">
        <f aca="false">SUMIFS(Takeoff!$J$5:$J$64,Takeoff!$B$5:$B$64,"Bath floor tile")</f>
        <v>120.689670138889</v>
      </c>
      <c r="E6" s="7" t="n">
        <f aca="false">Assumptions!$B$5</f>
        <v>0.25</v>
      </c>
      <c r="F6" s="8" t="n">
        <f aca="false">ROUNDUP(D6*(1+E6),0)</f>
        <v>151</v>
      </c>
      <c r="G6" s="9" t="n">
        <v>15.5</v>
      </c>
      <c r="H6" s="10" t="n">
        <f aca="false">ROUNDUP(F6/G6,0)</f>
        <v>10</v>
      </c>
      <c r="I6" s="11" t="n">
        <f aca="false">H6*G6</f>
        <v>155</v>
      </c>
      <c r="J6" s="13" t="s">
        <v>21</v>
      </c>
      <c r="K6" s="5" t="s">
        <v>22</v>
      </c>
    </row>
    <row r="7" customFormat="false" ht="23.85" hidden="false" customHeight="false" outlineLevel="0" collapsed="false">
      <c r="A7" s="4" t="s">
        <v>23</v>
      </c>
      <c r="B7" s="5" t="s">
        <v>24</v>
      </c>
      <c r="C7" s="5" t="s">
        <v>25</v>
      </c>
      <c r="D7" s="6" t="n">
        <f aca="false">SUMIFS(Takeoff!$J$5:$J$64,Takeoff!$B$5:$B$64,"Shower wall tile")</f>
        <v>250.082573784722</v>
      </c>
      <c r="E7" s="7" t="n">
        <f aca="false">Assumptions!$B$5</f>
        <v>0.25</v>
      </c>
      <c r="F7" s="8" t="n">
        <f aca="false">ROUNDUP(D7*(1+E7),0)</f>
        <v>313</v>
      </c>
      <c r="G7" s="9" t="n">
        <v>15.5</v>
      </c>
      <c r="H7" s="10" t="n">
        <f aca="false">ROUNDUP(F7/G7,0)</f>
        <v>21</v>
      </c>
      <c r="I7" s="11" t="n">
        <f aca="false">H7*G7</f>
        <v>325.5</v>
      </c>
      <c r="J7" s="13" t="s">
        <v>21</v>
      </c>
      <c r="K7" s="5" t="s">
        <v>26</v>
      </c>
    </row>
    <row r="8" customFormat="false" ht="23.85" hidden="false" customHeight="false" outlineLevel="0" collapsed="false">
      <c r="A8" s="4" t="s">
        <v>27</v>
      </c>
      <c r="B8" s="5" t="s">
        <v>28</v>
      </c>
      <c r="C8" s="5" t="s">
        <v>29</v>
      </c>
      <c r="D8" s="6" t="n">
        <f aca="false">SUMIFS(Takeoff!$J$5:$J$64,Takeoff!$B$5:$B$64,"Shower floor mosaic")</f>
        <v>37.6710069444444</v>
      </c>
      <c r="E8" s="7" t="n">
        <f aca="false">Assumptions!$B$5</f>
        <v>0.25</v>
      </c>
      <c r="F8" s="8" t="n">
        <f aca="false">ROUNDUP(D8*(1+E8),0)</f>
        <v>48</v>
      </c>
      <c r="G8" s="9" t="n">
        <v>10</v>
      </c>
      <c r="H8" s="10" t="n">
        <f aca="false">ROUNDUP(F8/G8,0)</f>
        <v>5</v>
      </c>
      <c r="I8" s="11" t="n">
        <f aca="false">H8*G8</f>
        <v>50</v>
      </c>
      <c r="J8" s="13" t="s">
        <v>21</v>
      </c>
      <c r="K8" s="5" t="s">
        <v>30</v>
      </c>
    </row>
    <row r="9" customFormat="false" ht="23.85" hidden="false" customHeight="false" outlineLevel="0" collapsed="false">
      <c r="A9" s="4" t="s">
        <v>31</v>
      </c>
      <c r="B9" s="5" t="s">
        <v>32</v>
      </c>
      <c r="C9" s="5" t="s">
        <v>33</v>
      </c>
      <c r="D9" s="6" t="n">
        <f aca="false">SUMIFS(Takeoff!$J$5:$J$64,Takeoff!$B$5:$B$64,"Backsplash tile")</f>
        <v>19.1388888888889</v>
      </c>
      <c r="E9" s="7" t="n">
        <f aca="false">Assumptions!$B$5</f>
        <v>0.25</v>
      </c>
      <c r="F9" s="8" t="n">
        <f aca="false">ROUNDUP(D9*(1+E9),0)</f>
        <v>24</v>
      </c>
      <c r="G9" s="9" t="n">
        <v>10.76</v>
      </c>
      <c r="H9" s="10" t="n">
        <f aca="false">ROUNDUP(F9/G9,0)</f>
        <v>3</v>
      </c>
      <c r="I9" s="11" t="n">
        <f aca="false">H9*G9</f>
        <v>32.28</v>
      </c>
      <c r="J9" s="12" t="s">
        <v>34</v>
      </c>
      <c r="K9" s="5" t="s">
        <v>35</v>
      </c>
    </row>
    <row r="10" customFormat="false" ht="23.85" hidden="false" customHeight="false" outlineLevel="0" collapsed="false">
      <c r="A10" s="4" t="s">
        <v>36</v>
      </c>
      <c r="B10" s="5" t="s">
        <v>37</v>
      </c>
      <c r="C10" s="5" t="s">
        <v>38</v>
      </c>
      <c r="D10" s="14" t="n">
        <f aca="false">Countertop!B10</f>
        <v>33.1809895833333</v>
      </c>
      <c r="E10" s="7" t="n">
        <f aca="false">Assumptions!$B$5</f>
        <v>0.25</v>
      </c>
      <c r="F10" s="8" t="n">
        <f aca="false">ROUNDUP(D10*(1+E10),0)</f>
        <v>42</v>
      </c>
      <c r="G10" s="14" t="n">
        <f aca="false">Countertop!B9</f>
        <v>55.125</v>
      </c>
      <c r="H10" s="10" t="n">
        <v>1</v>
      </c>
      <c r="I10" s="11" t="n">
        <f aca="false">H10*G10</f>
        <v>55.125</v>
      </c>
      <c r="J10" s="13" t="s">
        <v>21</v>
      </c>
      <c r="K10" s="5" t="s">
        <v>39</v>
      </c>
    </row>
    <row r="11" customFormat="false" ht="15" hidden="false" customHeight="false" outlineLevel="0" collapsed="false">
      <c r="A11" s="15" t="s">
        <v>40</v>
      </c>
    </row>
    <row r="13" customFormat="false" ht="15" hidden="false" customHeight="false" outlineLevel="0" collapsed="false">
      <c r="A13" s="16" t="s">
        <v>41</v>
      </c>
    </row>
    <row r="14" customFormat="false" ht="23.85" hidden="false" customHeight="false" outlineLevel="0" collapsed="false">
      <c r="A14" s="3" t="s">
        <v>42</v>
      </c>
      <c r="B14" s="3" t="s">
        <v>43</v>
      </c>
      <c r="C14" s="3" t="s">
        <v>44</v>
      </c>
      <c r="D14" s="3" t="s">
        <v>45</v>
      </c>
      <c r="E14" s="3" t="s">
        <v>46</v>
      </c>
      <c r="F14" s="3" t="s">
        <v>47</v>
      </c>
      <c r="G14" s="3" t="s">
        <v>48</v>
      </c>
      <c r="H14" s="3" t="s">
        <v>49</v>
      </c>
      <c r="I14" s="3" t="s">
        <v>50</v>
      </c>
    </row>
    <row r="15" customFormat="false" ht="15" hidden="false" customHeight="false" outlineLevel="0" collapsed="false">
      <c r="A15" s="5" t="s">
        <v>51</v>
      </c>
      <c r="B15" s="5" t="s">
        <v>52</v>
      </c>
      <c r="C15" s="6" t="n">
        <f aca="false">SUMIFS(Takeoff!$J$5:$J$64,Takeoff!$B$5:$B$64,"Bath floor tile",Takeoff!$D$5:$D$64,"Bath 3")</f>
        <v>47.16796875</v>
      </c>
      <c r="D15" s="17" t="n">
        <f aca="false">ROUNDUP(C15*(1+Assumptions!$B$5),0)</f>
        <v>59</v>
      </c>
      <c r="E15" s="6" t="n">
        <f aca="false">SUMIFS(Takeoff!$J$5:$J$64,Takeoff!$B$5:$B$64,"Shower wall tile",Takeoff!$D$5:$D$64,"Bath 3")</f>
        <v>101.926649305556</v>
      </c>
      <c r="F15" s="17" t="n">
        <f aca="false">ROUNDUP(E15*(1+Assumptions!$B$5),0)</f>
        <v>128</v>
      </c>
      <c r="G15" s="6" t="n">
        <f aca="false">SUMIFS(Takeoff!$J$5:$J$64,Takeoff!$B$5:$B$64,"Shower floor mosaic",Takeoff!$D$5:$D$64,"Bath 3")</f>
        <v>17.34375</v>
      </c>
      <c r="H15" s="17" t="n">
        <f aca="false">ROUNDUP(G15*(1+Assumptions!$B$5),0)</f>
        <v>22</v>
      </c>
      <c r="I15" s="17" t="n">
        <f aca="false">D15+F15+H15</f>
        <v>209</v>
      </c>
    </row>
    <row r="16" customFormat="false" ht="15" hidden="false" customHeight="false" outlineLevel="0" collapsed="false">
      <c r="A16" s="5" t="s">
        <v>53</v>
      </c>
      <c r="B16" s="5" t="s">
        <v>54</v>
      </c>
      <c r="C16" s="6" t="n">
        <f aca="false">SUMIFS(Takeoff!$J$5:$J$64,Takeoff!$B$5:$B$64,"Bath floor tile",Takeoff!$D$5:$D$64,"Bath 1")</f>
        <v>44.0740017361111</v>
      </c>
      <c r="D16" s="17" t="n">
        <f aca="false">ROUNDUP(C16*(1+Assumptions!$B$5),0)</f>
        <v>56</v>
      </c>
      <c r="E16" s="6" t="n">
        <f aca="false">SUMIFS(Takeoff!$J$5:$J$64,Takeoff!$B$5:$B$64,"Shower wall tile",Takeoff!$D$5:$D$64,"Bath 1")</f>
        <v>92.341796875</v>
      </c>
      <c r="F16" s="17" t="n">
        <f aca="false">ROUNDUP(E16*(1+Assumptions!$B$5),0)</f>
        <v>116</v>
      </c>
      <c r="G16" s="6" t="n">
        <f aca="false">SUMIFS(Takeoff!$J$5:$J$64,Takeoff!$B$5:$B$64,"Shower floor mosaic",Takeoff!$D$5:$D$64,"Bath 1")</f>
        <v>11.7838541666667</v>
      </c>
      <c r="H16" s="17" t="n">
        <f aca="false">ROUNDUP(G16*(1+Assumptions!$B$5),0)</f>
        <v>15</v>
      </c>
      <c r="I16" s="17" t="n">
        <f aca="false">D16+F16+H16</f>
        <v>187</v>
      </c>
    </row>
    <row r="17" customFormat="false" ht="15" hidden="false" customHeight="false" outlineLevel="0" collapsed="false">
      <c r="A17" s="5" t="s">
        <v>55</v>
      </c>
      <c r="B17" s="5" t="s">
        <v>54</v>
      </c>
      <c r="C17" s="6" t="n">
        <f aca="false">SUMIFS(Takeoff!$J$5:$J$64,Takeoff!$B$5:$B$64,"Bath floor tile",Takeoff!$D$5:$D$64,"Bath 2")</f>
        <v>29.4476996527778</v>
      </c>
      <c r="D17" s="17" t="n">
        <f aca="false">ROUNDUP(C17*(1+Assumptions!$B$5),0)</f>
        <v>37</v>
      </c>
      <c r="E17" s="6" t="n">
        <f aca="false">SUMIFS(Takeoff!$J$5:$J$64,Takeoff!$B$5:$B$64,"Shower wall tile",Takeoff!$D$5:$D$64,"Bath 2")</f>
        <v>55.8141276041667</v>
      </c>
      <c r="F17" s="17" t="n">
        <f aca="false">ROUNDUP(E17*(1+Assumptions!$B$5),0)</f>
        <v>70</v>
      </c>
      <c r="G17" s="6" t="n">
        <f aca="false">SUMIFS(Takeoff!$J$5:$J$64,Takeoff!$B$5:$B$64,"Shower floor mosaic",Takeoff!$D$5:$D$64,"Bath 2")</f>
        <v>8.54340277777778</v>
      </c>
      <c r="H17" s="17" t="n">
        <f aca="false">ROUNDUP(G17*(1+Assumptions!$B$5),0)</f>
        <v>11</v>
      </c>
      <c r="I17" s="17" t="n">
        <f aca="false">D17+F17+H17</f>
        <v>118</v>
      </c>
    </row>
    <row r="18" customFormat="false" ht="15" hidden="false" customHeight="false" outlineLevel="0" collapsed="false">
      <c r="A18" s="18" t="s">
        <v>56</v>
      </c>
      <c r="B18" s="18"/>
      <c r="C18" s="19" t="n">
        <f aca="false">SUM(C15:C17)</f>
        <v>120.689670138889</v>
      </c>
      <c r="D18" s="20" t="n">
        <f aca="false">SUM(D15:D17)</f>
        <v>152</v>
      </c>
      <c r="E18" s="19" t="n">
        <f aca="false">SUM(E15:E17)</f>
        <v>250.082573784722</v>
      </c>
      <c r="F18" s="20" t="n">
        <f aca="false">SUM(F15:F17)</f>
        <v>314</v>
      </c>
      <c r="G18" s="19" t="n">
        <f aca="false">SUM(G15:G17)</f>
        <v>37.6710069444444</v>
      </c>
      <c r="H18" s="20" t="n">
        <f aca="false">SUM(H15:H17)</f>
        <v>48</v>
      </c>
      <c r="I18" s="20" t="n">
        <f aca="false">SUM(I15:I17)</f>
        <v>514</v>
      </c>
    </row>
    <row r="19" customFormat="false" ht="15" hidden="false" customHeight="false" outlineLevel="0" collapsed="false">
      <c r="A19" s="15" t="s">
        <v>57</v>
      </c>
    </row>
    <row r="21" customFormat="false" ht="15" hidden="false" customHeight="false" outlineLevel="0" collapsed="false">
      <c r="A21" s="16" t="s">
        <v>58</v>
      </c>
    </row>
    <row r="22" customFormat="false" ht="15" hidden="false" customHeight="false" outlineLevel="0" collapsed="false">
      <c r="A22" s="3" t="s">
        <v>43</v>
      </c>
      <c r="B22" s="3"/>
      <c r="C22" s="3"/>
      <c r="D22" s="3" t="s">
        <v>59</v>
      </c>
      <c r="E22" s="3"/>
      <c r="F22" s="3" t="s">
        <v>7</v>
      </c>
    </row>
    <row r="23" customFormat="false" ht="15" hidden="false" customHeight="false" outlineLevel="0" collapsed="false">
      <c r="A23" s="5" t="s">
        <v>52</v>
      </c>
      <c r="B23" s="5"/>
      <c r="C23" s="5"/>
      <c r="D23" s="6" t="n">
        <f aca="false">SUMIFS(Takeoff!$J$5:$J$64,Takeoff!$B$5:$B$64,"Flooring",Takeoff!$E$5:$E$64,"1F")</f>
        <v>461.279861111111</v>
      </c>
      <c r="E23" s="5"/>
      <c r="F23" s="5" t="n">
        <f aca="false">ROUNDUP(D23*(1+Assumptions!$B$5),0)</f>
        <v>577</v>
      </c>
    </row>
    <row r="24" customFormat="false" ht="15" hidden="false" customHeight="false" outlineLevel="0" collapsed="false">
      <c r="A24" s="5" t="s">
        <v>54</v>
      </c>
      <c r="B24" s="5"/>
      <c r="C24" s="5"/>
      <c r="D24" s="6" t="n">
        <f aca="false">SUMIFS(Takeoff!$J$5:$J$64,Takeoff!$B$5:$B$64,"Flooring",Takeoff!$E$5:$E$64,"2F")</f>
        <v>791.875</v>
      </c>
      <c r="E24" s="5"/>
      <c r="F24" s="5" t="n">
        <f aca="false">ROUNDUP(D24*(1+Assumptions!$B$5),0)</f>
        <v>990</v>
      </c>
    </row>
    <row r="25" customFormat="false" ht="15" hidden="false" customHeight="false" outlineLevel="0" collapsed="false">
      <c r="A25" s="18" t="s">
        <v>56</v>
      </c>
      <c r="B25" s="18"/>
      <c r="C25" s="18"/>
      <c r="D25" s="19" t="n">
        <f aca="false">D23+D24</f>
        <v>1253.15486111111</v>
      </c>
      <c r="E25" s="18"/>
      <c r="F25" s="18" t="n">
        <f aca="false">F23+F24</f>
        <v>1567</v>
      </c>
    </row>
    <row r="26" customFormat="false" ht="15" hidden="false" customHeight="false" outlineLevel="0" collapsed="false">
      <c r="A26" s="15" t="s">
        <v>60</v>
      </c>
    </row>
    <row r="28" customFormat="false" ht="15" hidden="false" customHeight="false" outlineLevel="0" collapsed="false">
      <c r="A28" s="15" t="s">
        <v>61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10"/>
    <col collapsed="false" customWidth="true" hidden="false" outlineLevel="0" max="4" min="4" style="0" width="90"/>
  </cols>
  <sheetData>
    <row r="1" customFormat="false" ht="17.35" hidden="false" customHeight="false" outlineLevel="0" collapsed="false">
      <c r="A1" s="1" t="s">
        <v>62</v>
      </c>
    </row>
    <row r="2" customFormat="false" ht="15" hidden="false" customHeight="false" outlineLevel="0" collapsed="false">
      <c r="A2" s="2" t="s">
        <v>63</v>
      </c>
    </row>
    <row r="4" customFormat="false" ht="15" hidden="false" customHeight="false" outlineLevel="0" collapsed="false">
      <c r="A4" s="3" t="s">
        <v>64</v>
      </c>
      <c r="B4" s="3" t="s">
        <v>65</v>
      </c>
      <c r="C4" s="3" t="s">
        <v>66</v>
      </c>
      <c r="D4" s="3" t="s">
        <v>67</v>
      </c>
    </row>
    <row r="5" customFormat="false" ht="15" hidden="false" customHeight="false" outlineLevel="0" collapsed="false">
      <c r="A5" s="5" t="s">
        <v>68</v>
      </c>
      <c r="B5" s="21" t="n">
        <v>0.25</v>
      </c>
      <c r="C5" s="5" t="s">
        <v>69</v>
      </c>
      <c r="D5" s="5" t="s">
        <v>70</v>
      </c>
    </row>
    <row r="6" customFormat="false" ht="15" hidden="false" customHeight="false" outlineLevel="0" collapsed="false">
      <c r="A6" s="5" t="s">
        <v>71</v>
      </c>
      <c r="B6" s="22" t="n">
        <v>101.125</v>
      </c>
      <c r="C6" s="5" t="s">
        <v>72</v>
      </c>
      <c r="D6" s="5" t="s">
        <v>73</v>
      </c>
    </row>
    <row r="7" customFormat="false" ht="15" hidden="false" customHeight="false" outlineLevel="0" collapsed="false">
      <c r="A7" s="5" t="s">
        <v>74</v>
      </c>
      <c r="B7" s="22" t="n">
        <v>25.5</v>
      </c>
      <c r="C7" s="5" t="s">
        <v>72</v>
      </c>
      <c r="D7" s="5" t="s">
        <v>75</v>
      </c>
    </row>
    <row r="8" customFormat="false" ht="15" hidden="false" customHeight="false" outlineLevel="0" collapsed="false">
      <c r="A8" s="5" t="s">
        <v>76</v>
      </c>
      <c r="B8" s="22" t="n">
        <v>18</v>
      </c>
      <c r="C8" s="5" t="s">
        <v>72</v>
      </c>
      <c r="D8" s="5" t="s">
        <v>77</v>
      </c>
    </row>
    <row r="9" customFormat="false" ht="15" hidden="false" customHeight="false" outlineLevel="0" collapsed="false">
      <c r="A9" s="5" t="s">
        <v>78</v>
      </c>
      <c r="B9" s="22" t="n">
        <v>4</v>
      </c>
      <c r="C9" s="5" t="s">
        <v>72</v>
      </c>
      <c r="D9" s="5" t="s">
        <v>79</v>
      </c>
    </row>
    <row r="10" customFormat="false" ht="15" hidden="false" customHeight="false" outlineLevel="0" collapsed="false">
      <c r="A10" s="5" t="s">
        <v>80</v>
      </c>
      <c r="B10" s="22" t="n">
        <v>12</v>
      </c>
      <c r="C10" s="5" t="s">
        <v>72</v>
      </c>
      <c r="D10" s="5" t="s">
        <v>81</v>
      </c>
    </row>
    <row r="11" customFormat="false" ht="15" hidden="false" customHeight="false" outlineLevel="0" collapsed="false">
      <c r="A11" s="5" t="s">
        <v>82</v>
      </c>
      <c r="B11" s="22" t="n">
        <v>24</v>
      </c>
      <c r="C11" s="5" t="s">
        <v>72</v>
      </c>
      <c r="D11" s="5" t="s">
        <v>83</v>
      </c>
    </row>
    <row r="12" customFormat="false" ht="15" hidden="false" customHeight="false" outlineLevel="0" collapsed="false">
      <c r="A12" s="5" t="s">
        <v>84</v>
      </c>
      <c r="B12" s="22" t="n">
        <v>3.5</v>
      </c>
      <c r="C12" s="5" t="s">
        <v>72</v>
      </c>
      <c r="D12" s="5" t="s">
        <v>85</v>
      </c>
    </row>
    <row r="13" customFormat="false" ht="15" hidden="false" customHeight="false" outlineLevel="0" collapsed="false">
      <c r="A13" s="5" t="s">
        <v>86</v>
      </c>
      <c r="B13" s="22" t="n">
        <v>5</v>
      </c>
      <c r="C13" s="5" t="s">
        <v>72</v>
      </c>
      <c r="D13" s="5" t="s">
        <v>87</v>
      </c>
    </row>
    <row r="14" customFormat="false" ht="15" hidden="false" customHeight="false" outlineLevel="0" collapsed="false">
      <c r="A14" s="5" t="s">
        <v>88</v>
      </c>
      <c r="B14" s="22" t="n">
        <v>9.5</v>
      </c>
      <c r="C14" s="5" t="s">
        <v>72</v>
      </c>
      <c r="D14" s="5" t="s">
        <v>89</v>
      </c>
    </row>
    <row r="15" customFormat="false" ht="15" hidden="false" customHeight="false" outlineLevel="0" collapsed="false">
      <c r="A15" s="5" t="s">
        <v>90</v>
      </c>
      <c r="B15" s="22" t="n">
        <v>4.5</v>
      </c>
      <c r="C15" s="5" t="s">
        <v>72</v>
      </c>
      <c r="D15" s="5" t="s">
        <v>91</v>
      </c>
    </row>
    <row r="16" customFormat="false" ht="15" hidden="false" customHeight="false" outlineLevel="0" collapsed="false">
      <c r="A16" s="5" t="s">
        <v>92</v>
      </c>
      <c r="B16" s="22" t="n">
        <v>4.5</v>
      </c>
      <c r="C16" s="5" t="s">
        <v>72</v>
      </c>
      <c r="D16" s="5" t="s">
        <v>93</v>
      </c>
    </row>
    <row r="17" customFormat="false" ht="15" hidden="false" customHeight="false" outlineLevel="0" collapsed="false">
      <c r="A17" s="5" t="s">
        <v>94</v>
      </c>
      <c r="B17" s="22" t="n">
        <v>40</v>
      </c>
      <c r="C17" s="5" t="s">
        <v>95</v>
      </c>
      <c r="D17" s="5" t="s">
        <v>96</v>
      </c>
    </row>
    <row r="18" customFormat="false" ht="15" hidden="false" customHeight="false" outlineLevel="0" collapsed="false">
      <c r="A18" s="5" t="s">
        <v>97</v>
      </c>
      <c r="B18" s="22" t="n">
        <v>80</v>
      </c>
      <c r="C18" s="5" t="s">
        <v>95</v>
      </c>
      <c r="D18" s="5" t="s">
        <v>98</v>
      </c>
    </row>
    <row r="19" customFormat="false" ht="15" hidden="false" customHeight="false" outlineLevel="0" collapsed="false">
      <c r="A19" s="5" t="s">
        <v>99</v>
      </c>
      <c r="B19" s="23" t="n">
        <v>0.058</v>
      </c>
      <c r="C19" s="5" t="s">
        <v>100</v>
      </c>
      <c r="D19" s="5" t="s">
        <v>101</v>
      </c>
    </row>
    <row r="20" customFormat="false" ht="15" hidden="false" customHeight="false" outlineLevel="0" collapsed="false">
      <c r="A20" s="5" t="s">
        <v>102</v>
      </c>
      <c r="B20" s="22" t="n">
        <v>32</v>
      </c>
      <c r="C20" s="5" t="s">
        <v>103</v>
      </c>
      <c r="D20" s="5" t="s">
        <v>104</v>
      </c>
    </row>
    <row r="21" customFormat="false" ht="15" hidden="false" customHeight="false" outlineLevel="0" collapsed="false">
      <c r="A21" s="5" t="s">
        <v>105</v>
      </c>
      <c r="B21" s="22" t="n">
        <v>54</v>
      </c>
      <c r="C21" s="5" t="s">
        <v>103</v>
      </c>
      <c r="D21" s="5" t="s">
        <v>106</v>
      </c>
    </row>
    <row r="22" customFormat="false" ht="15" hidden="false" customHeight="false" outlineLevel="0" collapsed="false">
      <c r="A22" s="5" t="s">
        <v>107</v>
      </c>
      <c r="B22" s="22" t="n">
        <v>98.5</v>
      </c>
      <c r="C22" s="5" t="s">
        <v>72</v>
      </c>
      <c r="D22" s="5" t="s">
        <v>108</v>
      </c>
    </row>
    <row r="23" customFormat="false" ht="15" hidden="false" customHeight="false" outlineLevel="0" collapsed="false">
      <c r="A23" s="5" t="s">
        <v>109</v>
      </c>
      <c r="B23" s="24" t="n">
        <v>0.15</v>
      </c>
      <c r="C23" s="5" t="s">
        <v>69</v>
      </c>
      <c r="D23" s="5" t="s">
        <v>110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36"/>
    <col collapsed="false" customWidth="true" hidden="false" outlineLevel="0" max="4" min="4" style="0" width="20"/>
    <col collapsed="false" customWidth="true" hidden="false" outlineLevel="0" max="5" min="5" style="0" width="6"/>
    <col collapsed="false" customWidth="true" hidden="false" outlineLevel="0" max="6" min="6" style="0" width="11"/>
    <col collapsed="false" customWidth="true" hidden="false" outlineLevel="0" max="7" min="7" style="0" width="12"/>
    <col collapsed="false" customWidth="true" hidden="false" outlineLevel="0" max="10" min="8" style="0" width="10"/>
    <col collapsed="false" customWidth="true" hidden="false" outlineLevel="0" max="11" min="11" style="0" width="13"/>
    <col collapsed="false" customWidth="true" hidden="false" outlineLevel="0" max="12" min="12" style="0" width="70"/>
  </cols>
  <sheetData>
    <row r="1" customFormat="false" ht="17.35" hidden="false" customHeight="false" outlineLevel="0" collapsed="false">
      <c r="A1" s="1" t="s">
        <v>111</v>
      </c>
    </row>
    <row r="2" customFormat="false" ht="15" hidden="false" customHeight="false" outlineLevel="0" collapsed="false">
      <c r="A2" s="2" t="s">
        <v>112</v>
      </c>
    </row>
    <row r="4" customFormat="false" ht="23.85" hidden="false" customHeight="false" outlineLevel="0" collapsed="false">
      <c r="A4" s="3" t="s">
        <v>113</v>
      </c>
      <c r="B4" s="3" t="s">
        <v>2</v>
      </c>
      <c r="C4" s="3" t="s">
        <v>114</v>
      </c>
      <c r="D4" s="3" t="s">
        <v>42</v>
      </c>
      <c r="E4" s="3" t="s">
        <v>43</v>
      </c>
      <c r="F4" s="3" t="s">
        <v>115</v>
      </c>
      <c r="G4" s="3" t="s">
        <v>116</v>
      </c>
      <c r="H4" s="3" t="s">
        <v>117</v>
      </c>
      <c r="I4" s="3" t="s">
        <v>118</v>
      </c>
      <c r="J4" s="3" t="s">
        <v>59</v>
      </c>
      <c r="K4" s="3" t="s">
        <v>11</v>
      </c>
      <c r="L4" s="3" t="s">
        <v>119</v>
      </c>
    </row>
    <row r="5" customFormat="false" ht="15" hidden="false" customHeight="false" outlineLevel="0" collapsed="false">
      <c r="A5" s="25" t="s">
        <v>120</v>
      </c>
      <c r="B5" s="25"/>
      <c r="C5" s="25"/>
      <c r="D5" s="25"/>
      <c r="E5" s="25"/>
      <c r="F5" s="25"/>
      <c r="G5" s="25"/>
      <c r="H5" s="25"/>
      <c r="I5" s="25"/>
      <c r="J5" s="25"/>
      <c r="K5" s="25"/>
      <c r="L5" s="25"/>
    </row>
    <row r="6" customFormat="false" ht="15" hidden="false" customHeight="false" outlineLevel="0" collapsed="false">
      <c r="A6" s="5" t="s">
        <v>121</v>
      </c>
      <c r="B6" s="5" t="s">
        <v>13</v>
      </c>
      <c r="C6" s="5" t="s">
        <v>122</v>
      </c>
      <c r="D6" s="5" t="s">
        <v>123</v>
      </c>
      <c r="E6" s="5" t="s">
        <v>52</v>
      </c>
      <c r="F6" s="26" t="n">
        <v>147.5</v>
      </c>
      <c r="G6" s="26" t="n">
        <v>137.5</v>
      </c>
      <c r="H6" s="27" t="n">
        <v>1</v>
      </c>
      <c r="I6" s="28"/>
      <c r="J6" s="29" t="n">
        <f aca="false">IF(I6&lt;&gt;"",I6*H6,F6*G6*H6/144)</f>
        <v>140.842013888889</v>
      </c>
      <c r="K6" s="13" t="s">
        <v>21</v>
      </c>
      <c r="L6" s="5" t="s">
        <v>124</v>
      </c>
    </row>
    <row r="7" customFormat="false" ht="15" hidden="false" customHeight="false" outlineLevel="0" collapsed="false">
      <c r="A7" s="5" t="s">
        <v>125</v>
      </c>
      <c r="B7" s="5" t="s">
        <v>13</v>
      </c>
      <c r="C7" s="5" t="s">
        <v>126</v>
      </c>
      <c r="D7" s="5" t="s">
        <v>123</v>
      </c>
      <c r="E7" s="5" t="s">
        <v>52</v>
      </c>
      <c r="F7" s="26" t="n">
        <v>103</v>
      </c>
      <c r="G7" s="26" t="n">
        <v>24</v>
      </c>
      <c r="H7" s="27" t="n">
        <v>1</v>
      </c>
      <c r="I7" s="28"/>
      <c r="J7" s="29" t="n">
        <f aca="false">IF(I7&lt;&gt;"",I7*H7,F7*G7*H7/144)</f>
        <v>17.1666666666667</v>
      </c>
      <c r="K7" s="12" t="s">
        <v>16</v>
      </c>
      <c r="L7" s="5" t="s">
        <v>127</v>
      </c>
    </row>
    <row r="8" customFormat="false" ht="23.85" hidden="false" customHeight="false" outlineLevel="0" collapsed="false">
      <c r="A8" s="5" t="s">
        <v>128</v>
      </c>
      <c r="B8" s="5" t="s">
        <v>13</v>
      </c>
      <c r="C8" s="5" t="s">
        <v>129</v>
      </c>
      <c r="D8" s="5" t="s">
        <v>130</v>
      </c>
      <c r="E8" s="5" t="s">
        <v>52</v>
      </c>
      <c r="F8" s="26" t="n">
        <v>129</v>
      </c>
      <c r="G8" s="26" t="n">
        <v>137.5</v>
      </c>
      <c r="H8" s="27" t="n">
        <v>1</v>
      </c>
      <c r="I8" s="28"/>
      <c r="J8" s="29" t="n">
        <f aca="false">IF(I8&lt;&gt;"",I8*H8,F8*G8*H8/144)</f>
        <v>123.177083333333</v>
      </c>
      <c r="K8" s="13" t="s">
        <v>21</v>
      </c>
      <c r="L8" s="5" t="s">
        <v>131</v>
      </c>
    </row>
    <row r="9" customFormat="false" ht="15" hidden="false" customHeight="false" outlineLevel="0" collapsed="false">
      <c r="A9" s="5" t="s">
        <v>132</v>
      </c>
      <c r="B9" s="5" t="s">
        <v>13</v>
      </c>
      <c r="C9" s="5" t="s">
        <v>133</v>
      </c>
      <c r="D9" s="5" t="s">
        <v>134</v>
      </c>
      <c r="E9" s="5" t="s">
        <v>52</v>
      </c>
      <c r="F9" s="26"/>
      <c r="G9" s="26"/>
      <c r="H9" s="27" t="n">
        <v>1</v>
      </c>
      <c r="I9" s="28" t="n">
        <v>16.5</v>
      </c>
      <c r="J9" s="29" t="n">
        <f aca="false">IF(I9&lt;&gt;"",I9*H9,F9*G9*H9/144)</f>
        <v>16.5</v>
      </c>
      <c r="K9" s="13" t="s">
        <v>21</v>
      </c>
      <c r="L9" s="5" t="s">
        <v>135</v>
      </c>
    </row>
    <row r="10" customFormat="false" ht="15" hidden="false" customHeight="false" outlineLevel="0" collapsed="false">
      <c r="A10" s="5" t="s">
        <v>136</v>
      </c>
      <c r="B10" s="5" t="s">
        <v>13</v>
      </c>
      <c r="C10" s="5" t="s">
        <v>137</v>
      </c>
      <c r="D10" s="5" t="s">
        <v>137</v>
      </c>
      <c r="E10" s="5" t="s">
        <v>52</v>
      </c>
      <c r="F10" s="26"/>
      <c r="G10" s="26"/>
      <c r="H10" s="27" t="n">
        <v>1</v>
      </c>
      <c r="I10" s="28" t="n">
        <v>11.8</v>
      </c>
      <c r="J10" s="29" t="n">
        <f aca="false">IF(I10&lt;&gt;"",I10*H10,F10*G10*H10/144)</f>
        <v>11.8</v>
      </c>
      <c r="K10" s="13" t="s">
        <v>21</v>
      </c>
      <c r="L10" s="5" t="s">
        <v>135</v>
      </c>
    </row>
    <row r="11" customFormat="false" ht="15" hidden="false" customHeight="false" outlineLevel="0" collapsed="false">
      <c r="A11" s="5" t="s">
        <v>138</v>
      </c>
      <c r="B11" s="5" t="s">
        <v>13</v>
      </c>
      <c r="C11" s="5" t="s">
        <v>139</v>
      </c>
      <c r="D11" s="5" t="s">
        <v>139</v>
      </c>
      <c r="E11" s="5" t="s">
        <v>52</v>
      </c>
      <c r="F11" s="26"/>
      <c r="G11" s="26"/>
      <c r="H11" s="27" t="n">
        <v>1</v>
      </c>
      <c r="I11" s="28" t="n">
        <v>19.9</v>
      </c>
      <c r="J11" s="29" t="n">
        <f aca="false">IF(I11&lt;&gt;"",I11*H11,F11*G11*H11/144)</f>
        <v>19.9</v>
      </c>
      <c r="K11" s="13" t="s">
        <v>21</v>
      </c>
      <c r="L11" s="5" t="s">
        <v>135</v>
      </c>
    </row>
    <row r="12" customFormat="false" ht="15" hidden="false" customHeight="false" outlineLevel="0" collapsed="false">
      <c r="A12" s="5" t="s">
        <v>140</v>
      </c>
      <c r="B12" s="5" t="s">
        <v>13</v>
      </c>
      <c r="C12" s="5" t="s">
        <v>141</v>
      </c>
      <c r="D12" s="5" t="s">
        <v>142</v>
      </c>
      <c r="E12" s="5" t="s">
        <v>52</v>
      </c>
      <c r="F12" s="26" t="n">
        <v>205</v>
      </c>
      <c r="G12" s="26" t="n">
        <v>45</v>
      </c>
      <c r="H12" s="27" t="n">
        <v>1</v>
      </c>
      <c r="I12" s="28"/>
      <c r="J12" s="29" t="n">
        <f aca="false">IF(I12&lt;&gt;"",I12*H12,F12*G12*H12/144)</f>
        <v>64.0625</v>
      </c>
      <c r="K12" s="12" t="s">
        <v>16</v>
      </c>
      <c r="L12" s="5" t="s">
        <v>143</v>
      </c>
    </row>
    <row r="13" customFormat="false" ht="15" hidden="false" customHeight="false" outlineLevel="0" collapsed="false">
      <c r="A13" s="5" t="s">
        <v>144</v>
      </c>
      <c r="B13" s="5" t="s">
        <v>13</v>
      </c>
      <c r="C13" s="5" t="s">
        <v>145</v>
      </c>
      <c r="D13" s="5" t="s">
        <v>146</v>
      </c>
      <c r="E13" s="5" t="s">
        <v>52</v>
      </c>
      <c r="F13" s="26" t="n">
        <v>151.5</v>
      </c>
      <c r="G13" s="26" t="n">
        <v>81.5</v>
      </c>
      <c r="H13" s="27" t="n">
        <v>1</v>
      </c>
      <c r="I13" s="28"/>
      <c r="J13" s="29" t="n">
        <f aca="false">IF(I13&lt;&gt;"",I13*H13,F13*G13*H13/144)</f>
        <v>85.7447916666667</v>
      </c>
      <c r="K13" s="12" t="s">
        <v>16</v>
      </c>
      <c r="L13" s="5" t="s">
        <v>147</v>
      </c>
    </row>
    <row r="14" customFormat="false" ht="15" hidden="false" customHeight="false" outlineLevel="0" collapsed="false">
      <c r="A14" s="5" t="s">
        <v>148</v>
      </c>
      <c r="B14" s="5" t="s">
        <v>13</v>
      </c>
      <c r="C14" s="5" t="s">
        <v>149</v>
      </c>
      <c r="D14" s="5" t="s">
        <v>146</v>
      </c>
      <c r="E14" s="5" t="s">
        <v>52</v>
      </c>
      <c r="F14" s="26" t="n">
        <v>77</v>
      </c>
      <c r="G14" s="26" t="n">
        <v>33.5</v>
      </c>
      <c r="H14" s="27" t="n">
        <v>-1</v>
      </c>
      <c r="I14" s="28"/>
      <c r="J14" s="29" t="n">
        <f aca="false">IF(I14&lt;&gt;"",I14*H14,F14*G14*H14/144)</f>
        <v>-17.9131944444444</v>
      </c>
      <c r="K14" s="12" t="s">
        <v>16</v>
      </c>
      <c r="L14" s="5" t="s">
        <v>150</v>
      </c>
    </row>
    <row r="15" customFormat="false" ht="15" hidden="false" customHeight="false" outlineLevel="0" collapsed="false">
      <c r="A15" s="5" t="s">
        <v>151</v>
      </c>
      <c r="B15" s="5" t="s">
        <v>13</v>
      </c>
      <c r="C15" s="5" t="s">
        <v>152</v>
      </c>
      <c r="D15" s="5" t="s">
        <v>152</v>
      </c>
      <c r="E15" s="5" t="s">
        <v>54</v>
      </c>
      <c r="F15" s="26"/>
      <c r="G15" s="26"/>
      <c r="H15" s="27" t="n">
        <v>1</v>
      </c>
      <c r="I15" s="28" t="n">
        <v>341</v>
      </c>
      <c r="J15" s="29" t="n">
        <f aca="false">IF(I15&lt;&gt;"",I15*H15,F15*G15*H15/144)</f>
        <v>341</v>
      </c>
      <c r="K15" s="13" t="s">
        <v>21</v>
      </c>
      <c r="L15" s="5" t="s">
        <v>153</v>
      </c>
    </row>
    <row r="16" customFormat="false" ht="15" hidden="false" customHeight="false" outlineLevel="0" collapsed="false">
      <c r="A16" s="5" t="s">
        <v>154</v>
      </c>
      <c r="B16" s="5" t="s">
        <v>13</v>
      </c>
      <c r="C16" s="5" t="s">
        <v>155</v>
      </c>
      <c r="D16" s="5" t="s">
        <v>155</v>
      </c>
      <c r="E16" s="5" t="s">
        <v>54</v>
      </c>
      <c r="F16" s="26"/>
      <c r="G16" s="26"/>
      <c r="H16" s="27" t="n">
        <v>1</v>
      </c>
      <c r="I16" s="28" t="n">
        <v>252</v>
      </c>
      <c r="J16" s="29" t="n">
        <f aca="false">IF(I16&lt;&gt;"",I16*H16,F16*G16*H16/144)</f>
        <v>252</v>
      </c>
      <c r="K16" s="13" t="s">
        <v>21</v>
      </c>
      <c r="L16" s="5" t="s">
        <v>153</v>
      </c>
    </row>
    <row r="17" customFormat="false" ht="23.85" hidden="false" customHeight="false" outlineLevel="0" collapsed="false">
      <c r="A17" s="5" t="s">
        <v>156</v>
      </c>
      <c r="B17" s="5" t="s">
        <v>13</v>
      </c>
      <c r="C17" s="5" t="s">
        <v>157</v>
      </c>
      <c r="D17" s="5" t="s">
        <v>155</v>
      </c>
      <c r="E17" s="5" t="s">
        <v>54</v>
      </c>
      <c r="F17" s="26" t="n">
        <v>133.875</v>
      </c>
      <c r="G17" s="26" t="n">
        <v>24</v>
      </c>
      <c r="H17" s="27" t="n">
        <v>-1</v>
      </c>
      <c r="I17" s="28"/>
      <c r="J17" s="29" t="n">
        <f aca="false">IF(I17&lt;&gt;"",I17*H17,F17*G17*H17/144)</f>
        <v>-22.3125</v>
      </c>
      <c r="K17" s="13" t="s">
        <v>21</v>
      </c>
      <c r="L17" s="5" t="s">
        <v>158</v>
      </c>
    </row>
    <row r="18" customFormat="false" ht="15" hidden="false" customHeight="false" outlineLevel="0" collapsed="false">
      <c r="A18" s="5" t="s">
        <v>159</v>
      </c>
      <c r="B18" s="5" t="s">
        <v>13</v>
      </c>
      <c r="C18" s="5" t="s">
        <v>160</v>
      </c>
      <c r="D18" s="5" t="s">
        <v>155</v>
      </c>
      <c r="E18" s="5" t="s">
        <v>54</v>
      </c>
      <c r="F18" s="26" t="n">
        <v>31.375</v>
      </c>
      <c r="G18" s="26" t="n">
        <v>24</v>
      </c>
      <c r="H18" s="27" t="n">
        <v>-1</v>
      </c>
      <c r="I18" s="28"/>
      <c r="J18" s="29" t="n">
        <f aca="false">IF(I18&lt;&gt;"",I18*H18,F18*G18*H18/144)</f>
        <v>-5.22916666666667</v>
      </c>
      <c r="K18" s="13" t="s">
        <v>21</v>
      </c>
      <c r="L18" s="5" t="s">
        <v>161</v>
      </c>
    </row>
    <row r="19" customFormat="false" ht="15" hidden="false" customHeight="false" outlineLevel="0" collapsed="false">
      <c r="A19" s="5" t="s">
        <v>162</v>
      </c>
      <c r="B19" s="5" t="s">
        <v>13</v>
      </c>
      <c r="C19" s="5" t="s">
        <v>163</v>
      </c>
      <c r="D19" s="5" t="s">
        <v>163</v>
      </c>
      <c r="E19" s="5" t="s">
        <v>54</v>
      </c>
      <c r="F19" s="26"/>
      <c r="G19" s="26"/>
      <c r="H19" s="27" t="n">
        <v>1</v>
      </c>
      <c r="I19" s="28" t="n">
        <v>156</v>
      </c>
      <c r="J19" s="29" t="n">
        <f aca="false">IF(I19&lt;&gt;"",I19*H19,F19*G19*H19/144)</f>
        <v>156</v>
      </c>
      <c r="K19" s="13" t="s">
        <v>21</v>
      </c>
      <c r="L19" s="5" t="s">
        <v>153</v>
      </c>
    </row>
    <row r="20" customFormat="false" ht="15" hidden="false" customHeight="false" outlineLevel="0" collapsed="false">
      <c r="A20" s="5" t="s">
        <v>164</v>
      </c>
      <c r="B20" s="5" t="s">
        <v>13</v>
      </c>
      <c r="C20" s="5" t="s">
        <v>165</v>
      </c>
      <c r="D20" s="5" t="s">
        <v>165</v>
      </c>
      <c r="E20" s="5" t="s">
        <v>54</v>
      </c>
      <c r="F20" s="26"/>
      <c r="G20" s="26"/>
      <c r="H20" s="27" t="n">
        <v>1</v>
      </c>
      <c r="I20" s="28" t="n">
        <v>20</v>
      </c>
      <c r="J20" s="29" t="n">
        <f aca="false">IF(I20&lt;&gt;"",I20*H20,F20*G20*H20/144)</f>
        <v>20</v>
      </c>
      <c r="K20" s="13" t="s">
        <v>21</v>
      </c>
      <c r="L20" s="5" t="s">
        <v>153</v>
      </c>
    </row>
    <row r="21" customFormat="false" ht="15" hidden="false" customHeight="false" outlineLevel="0" collapsed="false">
      <c r="A21" s="5" t="s">
        <v>166</v>
      </c>
      <c r="B21" s="5" t="s">
        <v>13</v>
      </c>
      <c r="C21" s="5" t="s">
        <v>167</v>
      </c>
      <c r="D21" s="5" t="s">
        <v>167</v>
      </c>
      <c r="E21" s="5" t="s">
        <v>54</v>
      </c>
      <c r="F21" s="26" t="n">
        <v>64</v>
      </c>
      <c r="G21" s="26" t="n">
        <v>42</v>
      </c>
      <c r="H21" s="27" t="n">
        <v>1</v>
      </c>
      <c r="I21" s="28"/>
      <c r="J21" s="29" t="n">
        <f aca="false">IF(I21&lt;&gt;"",I21*H21,F21*G21*H21/144)</f>
        <v>18.6666666666667</v>
      </c>
      <c r="K21" s="12" t="s">
        <v>16</v>
      </c>
      <c r="L21" s="5" t="s">
        <v>168</v>
      </c>
    </row>
    <row r="22" customFormat="false" ht="15" hidden="false" customHeight="false" outlineLevel="0" collapsed="false">
      <c r="A22" s="5" t="s">
        <v>169</v>
      </c>
      <c r="B22" s="5" t="s">
        <v>13</v>
      </c>
      <c r="C22" s="5" t="s">
        <v>141</v>
      </c>
      <c r="D22" s="5" t="s">
        <v>170</v>
      </c>
      <c r="E22" s="5" t="s">
        <v>54</v>
      </c>
      <c r="F22" s="26" t="n">
        <v>38</v>
      </c>
      <c r="G22" s="26" t="n">
        <v>90</v>
      </c>
      <c r="H22" s="27" t="n">
        <v>1</v>
      </c>
      <c r="I22" s="28"/>
      <c r="J22" s="29" t="n">
        <f aca="false">IF(I22&lt;&gt;"",I22*H22,F22*G22*H22/144)</f>
        <v>23.75</v>
      </c>
      <c r="K22" s="12" t="s">
        <v>16</v>
      </c>
      <c r="L22" s="5" t="s">
        <v>171</v>
      </c>
    </row>
    <row r="23" customFormat="false" ht="15" hidden="false" customHeight="false" outlineLevel="0" collapsed="false">
      <c r="A23" s="5" t="s">
        <v>172</v>
      </c>
      <c r="B23" s="5" t="s">
        <v>13</v>
      </c>
      <c r="C23" s="5" t="s">
        <v>173</v>
      </c>
      <c r="D23" s="5" t="s">
        <v>173</v>
      </c>
      <c r="E23" s="5" t="s">
        <v>54</v>
      </c>
      <c r="F23" s="26"/>
      <c r="G23" s="26"/>
      <c r="H23" s="27" t="n">
        <v>1</v>
      </c>
      <c r="I23" s="28" t="n">
        <v>8</v>
      </c>
      <c r="J23" s="29" t="n">
        <f aca="false">IF(I23&lt;&gt;"",I23*H23,F23*G23*H23/144)</f>
        <v>8</v>
      </c>
      <c r="K23" s="13" t="s">
        <v>21</v>
      </c>
      <c r="L23" s="5" t="s">
        <v>174</v>
      </c>
    </row>
    <row r="24" customFormat="false" ht="15" hidden="false" customHeight="false" outlineLevel="0" collapsed="false">
      <c r="A24" s="25" t="s">
        <v>175</v>
      </c>
      <c r="B24" s="25"/>
      <c r="C24" s="25"/>
      <c r="D24" s="25"/>
      <c r="E24" s="25"/>
      <c r="F24" s="25"/>
      <c r="G24" s="25"/>
      <c r="H24" s="25"/>
      <c r="I24" s="25"/>
      <c r="J24" s="25"/>
      <c r="K24" s="25"/>
      <c r="L24" s="25"/>
    </row>
    <row r="25" customFormat="false" ht="15" hidden="false" customHeight="false" outlineLevel="0" collapsed="false">
      <c r="A25" s="5" t="s">
        <v>176</v>
      </c>
      <c r="B25" s="5" t="s">
        <v>18</v>
      </c>
      <c r="C25" s="5" t="s">
        <v>177</v>
      </c>
      <c r="D25" s="5" t="s">
        <v>51</v>
      </c>
      <c r="E25" s="5" t="s">
        <v>52</v>
      </c>
      <c r="F25" s="26" t="n">
        <v>67.5</v>
      </c>
      <c r="G25" s="26" t="n">
        <v>137.625</v>
      </c>
      <c r="H25" s="27" t="n">
        <v>1</v>
      </c>
      <c r="I25" s="28"/>
      <c r="J25" s="29" t="n">
        <f aca="false">IF(I25&lt;&gt;"",I25*H25,F25*G25*H25/144)</f>
        <v>64.51171875</v>
      </c>
      <c r="K25" s="13" t="s">
        <v>21</v>
      </c>
      <c r="L25" s="5" t="s">
        <v>178</v>
      </c>
    </row>
    <row r="26" customFormat="false" ht="15" hidden="false" customHeight="false" outlineLevel="0" collapsed="false">
      <c r="A26" s="5" t="s">
        <v>179</v>
      </c>
      <c r="B26" s="5" t="s">
        <v>18</v>
      </c>
      <c r="C26" s="5" t="s">
        <v>180</v>
      </c>
      <c r="D26" s="5" t="s">
        <v>51</v>
      </c>
      <c r="E26" s="5" t="s">
        <v>52</v>
      </c>
      <c r="F26" s="26" t="n">
        <v>67.5</v>
      </c>
      <c r="G26" s="26" t="n">
        <v>37</v>
      </c>
      <c r="H26" s="27" t="n">
        <v>-1</v>
      </c>
      <c r="I26" s="28"/>
      <c r="J26" s="29" t="n">
        <f aca="false">IF(I26&lt;&gt;"",I26*H26,F26*G26*H26/144)</f>
        <v>-17.34375</v>
      </c>
      <c r="K26" s="13" t="s">
        <v>21</v>
      </c>
      <c r="L26" s="5" t="s">
        <v>181</v>
      </c>
    </row>
    <row r="27" customFormat="false" ht="15" hidden="false" customHeight="false" outlineLevel="0" collapsed="false">
      <c r="A27" s="5" t="s">
        <v>182</v>
      </c>
      <c r="B27" s="5" t="s">
        <v>18</v>
      </c>
      <c r="C27" s="5" t="s">
        <v>177</v>
      </c>
      <c r="D27" s="5" t="s">
        <v>53</v>
      </c>
      <c r="E27" s="5" t="s">
        <v>54</v>
      </c>
      <c r="F27" s="26" t="n">
        <v>90.25</v>
      </c>
      <c r="G27" s="26" t="n">
        <v>89.125</v>
      </c>
      <c r="H27" s="27" t="n">
        <v>1</v>
      </c>
      <c r="I27" s="28"/>
      <c r="J27" s="29" t="n">
        <f aca="false">IF(I27&lt;&gt;"",I27*H27,F27*G27*H27/144)</f>
        <v>55.8578559027778</v>
      </c>
      <c r="K27" s="13" t="s">
        <v>21</v>
      </c>
      <c r="L27" s="5" t="s">
        <v>183</v>
      </c>
    </row>
    <row r="28" customFormat="false" ht="15" hidden="false" customHeight="false" outlineLevel="0" collapsed="false">
      <c r="A28" s="5" t="s">
        <v>184</v>
      </c>
      <c r="B28" s="5" t="s">
        <v>18</v>
      </c>
      <c r="C28" s="5" t="s">
        <v>180</v>
      </c>
      <c r="D28" s="5" t="s">
        <v>53</v>
      </c>
      <c r="E28" s="5" t="s">
        <v>54</v>
      </c>
      <c r="F28" s="26" t="n">
        <v>37.5</v>
      </c>
      <c r="G28" s="26" t="n">
        <v>45.25</v>
      </c>
      <c r="H28" s="27" t="n">
        <v>-1</v>
      </c>
      <c r="I28" s="28"/>
      <c r="J28" s="29" t="n">
        <f aca="false">IF(I28&lt;&gt;"",I28*H28,F28*G28*H28/144)</f>
        <v>-11.7838541666667</v>
      </c>
      <c r="K28" s="13" t="s">
        <v>21</v>
      </c>
      <c r="L28" s="5" t="s">
        <v>185</v>
      </c>
    </row>
    <row r="29" customFormat="false" ht="15" hidden="false" customHeight="false" outlineLevel="0" collapsed="false">
      <c r="A29" s="5" t="s">
        <v>186</v>
      </c>
      <c r="B29" s="5" t="s">
        <v>18</v>
      </c>
      <c r="C29" s="5" t="s">
        <v>177</v>
      </c>
      <c r="D29" s="5" t="s">
        <v>55</v>
      </c>
      <c r="E29" s="5" t="s">
        <v>54</v>
      </c>
      <c r="F29" s="26" t="n">
        <v>70.25</v>
      </c>
      <c r="G29" s="26" t="n">
        <v>77.875</v>
      </c>
      <c r="H29" s="27" t="n">
        <v>1</v>
      </c>
      <c r="I29" s="28"/>
      <c r="J29" s="29" t="n">
        <f aca="false">IF(I29&lt;&gt;"",I29*H29,F29*G29*H29/144)</f>
        <v>37.9911024305556</v>
      </c>
      <c r="K29" s="13" t="s">
        <v>21</v>
      </c>
      <c r="L29" s="5" t="s">
        <v>187</v>
      </c>
    </row>
    <row r="30" customFormat="false" ht="15" hidden="false" customHeight="false" outlineLevel="0" collapsed="false">
      <c r="A30" s="5" t="s">
        <v>188</v>
      </c>
      <c r="B30" s="5" t="s">
        <v>18</v>
      </c>
      <c r="C30" s="5" t="s">
        <v>180</v>
      </c>
      <c r="D30" s="5" t="s">
        <v>55</v>
      </c>
      <c r="E30" s="5" t="s">
        <v>54</v>
      </c>
      <c r="F30" s="26" t="n">
        <v>32.375</v>
      </c>
      <c r="G30" s="26" t="n">
        <v>38</v>
      </c>
      <c r="H30" s="27" t="n">
        <v>-1</v>
      </c>
      <c r="I30" s="28"/>
      <c r="J30" s="29" t="n">
        <f aca="false">IF(I30&lt;&gt;"",I30*H30,F30*G30*H30/144)</f>
        <v>-8.54340277777778</v>
      </c>
      <c r="K30" s="13" t="s">
        <v>21</v>
      </c>
      <c r="L30" s="5" t="s">
        <v>189</v>
      </c>
    </row>
    <row r="31" customFormat="false" ht="15" hidden="false" customHeight="false" outlineLevel="0" collapsed="false">
      <c r="A31" s="25" t="s">
        <v>190</v>
      </c>
      <c r="B31" s="25"/>
      <c r="C31" s="25"/>
      <c r="D31" s="25"/>
      <c r="E31" s="25"/>
      <c r="F31" s="25"/>
      <c r="G31" s="25"/>
      <c r="H31" s="25"/>
      <c r="I31" s="25"/>
      <c r="J31" s="25"/>
      <c r="K31" s="25"/>
      <c r="L31" s="25"/>
    </row>
    <row r="32" customFormat="false" ht="15" hidden="false" customHeight="false" outlineLevel="0" collapsed="false">
      <c r="A32" s="5" t="s">
        <v>191</v>
      </c>
      <c r="B32" s="5" t="s">
        <v>23</v>
      </c>
      <c r="C32" s="5" t="s">
        <v>192</v>
      </c>
      <c r="D32" s="5" t="s">
        <v>51</v>
      </c>
      <c r="E32" s="5" t="s">
        <v>52</v>
      </c>
      <c r="F32" s="26" t="n">
        <v>67.5</v>
      </c>
      <c r="G32" s="30" t="n">
        <f aca="false">Assumptions!$B$6</f>
        <v>101.125</v>
      </c>
      <c r="H32" s="27" t="n">
        <v>1</v>
      </c>
      <c r="I32" s="28"/>
      <c r="J32" s="29" t="n">
        <f aca="false">IF(I32&lt;&gt;"",I32*H32,F32*G32*H32/144)</f>
        <v>47.40234375</v>
      </c>
      <c r="K32" s="13" t="s">
        <v>21</v>
      </c>
      <c r="L32" s="5" t="s">
        <v>193</v>
      </c>
    </row>
    <row r="33" customFormat="false" ht="15" hidden="false" customHeight="false" outlineLevel="0" collapsed="false">
      <c r="A33" s="5" t="s">
        <v>194</v>
      </c>
      <c r="B33" s="5" t="s">
        <v>23</v>
      </c>
      <c r="C33" s="5" t="s">
        <v>195</v>
      </c>
      <c r="D33" s="5" t="s">
        <v>51</v>
      </c>
      <c r="E33" s="5" t="s">
        <v>52</v>
      </c>
      <c r="F33" s="26" t="n">
        <v>37</v>
      </c>
      <c r="G33" s="30" t="n">
        <f aca="false">Assumptions!$B$6</f>
        <v>101.125</v>
      </c>
      <c r="H33" s="27" t="n">
        <v>1</v>
      </c>
      <c r="I33" s="28"/>
      <c r="J33" s="29" t="n">
        <f aca="false">IF(I33&lt;&gt;"",I33*H33,F33*G33*H33/144)</f>
        <v>25.9835069444444</v>
      </c>
      <c r="K33" s="13" t="s">
        <v>21</v>
      </c>
      <c r="L33" s="5"/>
    </row>
    <row r="34" customFormat="false" ht="15" hidden="false" customHeight="false" outlineLevel="0" collapsed="false">
      <c r="A34" s="5" t="s">
        <v>196</v>
      </c>
      <c r="B34" s="5" t="s">
        <v>23</v>
      </c>
      <c r="C34" s="5" t="s">
        <v>197</v>
      </c>
      <c r="D34" s="5" t="s">
        <v>51</v>
      </c>
      <c r="E34" s="5" t="s">
        <v>52</v>
      </c>
      <c r="F34" s="26" t="n">
        <v>37</v>
      </c>
      <c r="G34" s="30" t="n">
        <f aca="false">Assumptions!$B$6</f>
        <v>101.125</v>
      </c>
      <c r="H34" s="27" t="n">
        <v>1</v>
      </c>
      <c r="I34" s="28"/>
      <c r="J34" s="29" t="n">
        <f aca="false">IF(I34&lt;&gt;"",I34*H34,F34*G34*H34/144)</f>
        <v>25.9835069444444</v>
      </c>
      <c r="K34" s="13" t="s">
        <v>21</v>
      </c>
      <c r="L34" s="5" t="s">
        <v>198</v>
      </c>
    </row>
    <row r="35" customFormat="false" ht="15" hidden="false" customHeight="false" outlineLevel="0" collapsed="false">
      <c r="A35" s="5" t="s">
        <v>199</v>
      </c>
      <c r="B35" s="5" t="s">
        <v>23</v>
      </c>
      <c r="C35" s="5" t="s">
        <v>200</v>
      </c>
      <c r="D35" s="5" t="s">
        <v>51</v>
      </c>
      <c r="E35" s="5" t="s">
        <v>52</v>
      </c>
      <c r="F35" s="26" t="n">
        <v>30</v>
      </c>
      <c r="G35" s="26" t="n">
        <v>41.25</v>
      </c>
      <c r="H35" s="27" t="n">
        <v>-1</v>
      </c>
      <c r="I35" s="28"/>
      <c r="J35" s="29" t="n">
        <f aca="false">IF(I35&lt;&gt;"",I35*H35,F35*G35*H35/144)</f>
        <v>-8.59375</v>
      </c>
      <c r="K35" s="13" t="s">
        <v>21</v>
      </c>
      <c r="L35" s="5" t="s">
        <v>201</v>
      </c>
    </row>
    <row r="36" customFormat="false" ht="15" hidden="false" customHeight="false" outlineLevel="0" collapsed="false">
      <c r="A36" s="5" t="s">
        <v>202</v>
      </c>
      <c r="B36" s="5" t="s">
        <v>23</v>
      </c>
      <c r="C36" s="5" t="s">
        <v>203</v>
      </c>
      <c r="D36" s="5" t="s">
        <v>51</v>
      </c>
      <c r="E36" s="5" t="s">
        <v>52</v>
      </c>
      <c r="F36" s="26" t="n">
        <v>142.5</v>
      </c>
      <c r="G36" s="30" t="n">
        <f aca="false">Assumptions!$B$13</f>
        <v>5</v>
      </c>
      <c r="H36" s="27" t="n">
        <v>1</v>
      </c>
      <c r="I36" s="28"/>
      <c r="J36" s="29" t="n">
        <f aca="false">IF(I36&lt;&gt;"",I36*H36,F36*G36*H36/144)</f>
        <v>4.94791666666667</v>
      </c>
      <c r="K36" s="12" t="s">
        <v>34</v>
      </c>
      <c r="L36" s="5" t="s">
        <v>204</v>
      </c>
    </row>
    <row r="37" customFormat="false" ht="15" hidden="false" customHeight="false" outlineLevel="0" collapsed="false">
      <c r="A37" s="5" t="s">
        <v>205</v>
      </c>
      <c r="B37" s="5" t="s">
        <v>23</v>
      </c>
      <c r="C37" s="5" t="s">
        <v>206</v>
      </c>
      <c r="D37" s="5" t="s">
        <v>51</v>
      </c>
      <c r="E37" s="5" t="s">
        <v>52</v>
      </c>
      <c r="F37" s="30" t="n">
        <f aca="false">2*(Assumptions!$B$10+Assumptions!$B$11)</f>
        <v>72</v>
      </c>
      <c r="G37" s="30" t="n">
        <f aca="false">Assumptions!$B$12</f>
        <v>3.5</v>
      </c>
      <c r="H37" s="27" t="n">
        <v>1</v>
      </c>
      <c r="I37" s="28"/>
      <c r="J37" s="29" t="n">
        <f aca="false">IF(I37&lt;&gt;"",I37*H37,F37*G37*H37/144)</f>
        <v>1.75</v>
      </c>
      <c r="K37" s="31" t="s">
        <v>207</v>
      </c>
      <c r="L37" s="5" t="s">
        <v>208</v>
      </c>
    </row>
    <row r="38" customFormat="false" ht="15" hidden="false" customHeight="false" outlineLevel="0" collapsed="false">
      <c r="A38" s="5" t="s">
        <v>209</v>
      </c>
      <c r="B38" s="5" t="s">
        <v>23</v>
      </c>
      <c r="C38" s="5" t="s">
        <v>210</v>
      </c>
      <c r="D38" s="5" t="s">
        <v>51</v>
      </c>
      <c r="E38" s="5" t="s">
        <v>52</v>
      </c>
      <c r="F38" s="26" t="n">
        <v>67.5</v>
      </c>
      <c r="G38" s="30" t="n">
        <f aca="false">Assumptions!$B$14</f>
        <v>9.5</v>
      </c>
      <c r="H38" s="27" t="n">
        <v>1</v>
      </c>
      <c r="I38" s="28"/>
      <c r="J38" s="29" t="n">
        <f aca="false">IF(I38&lt;&gt;"",I38*H38,F38*G38*H38/144)</f>
        <v>4.453125</v>
      </c>
      <c r="K38" s="31" t="s">
        <v>207</v>
      </c>
      <c r="L38" s="5" t="s">
        <v>211</v>
      </c>
    </row>
    <row r="39" customFormat="false" ht="15" hidden="false" customHeight="false" outlineLevel="0" collapsed="false">
      <c r="A39" s="5" t="s">
        <v>212</v>
      </c>
      <c r="B39" s="5" t="s">
        <v>23</v>
      </c>
      <c r="C39" s="5" t="s">
        <v>213</v>
      </c>
      <c r="D39" s="5" t="s">
        <v>53</v>
      </c>
      <c r="E39" s="5" t="s">
        <v>54</v>
      </c>
      <c r="F39" s="26" t="n">
        <v>37.5</v>
      </c>
      <c r="G39" s="30" t="n">
        <f aca="false">Assumptions!$B$6</f>
        <v>101.125</v>
      </c>
      <c r="H39" s="27" t="n">
        <v>1</v>
      </c>
      <c r="I39" s="28"/>
      <c r="J39" s="29" t="n">
        <f aca="false">IF(I39&lt;&gt;"",I39*H39,F39*G39*H39/144)</f>
        <v>26.3346354166667</v>
      </c>
      <c r="K39" s="13" t="s">
        <v>21</v>
      </c>
      <c r="L39" s="5"/>
    </row>
    <row r="40" customFormat="false" ht="15" hidden="false" customHeight="false" outlineLevel="0" collapsed="false">
      <c r="A40" s="5" t="s">
        <v>214</v>
      </c>
      <c r="B40" s="5" t="s">
        <v>23</v>
      </c>
      <c r="C40" s="5" t="s">
        <v>215</v>
      </c>
      <c r="D40" s="5" t="s">
        <v>53</v>
      </c>
      <c r="E40" s="5" t="s">
        <v>54</v>
      </c>
      <c r="F40" s="26" t="n">
        <v>45.25</v>
      </c>
      <c r="G40" s="30" t="n">
        <f aca="false">Assumptions!$B$6</f>
        <v>101.125</v>
      </c>
      <c r="H40" s="27" t="n">
        <v>1</v>
      </c>
      <c r="I40" s="28"/>
      <c r="J40" s="29" t="n">
        <f aca="false">IF(I40&lt;&gt;"",I40*H40,F40*G40*H40/144)</f>
        <v>31.7771267361111</v>
      </c>
      <c r="K40" s="13" t="s">
        <v>21</v>
      </c>
      <c r="L40" s="5" t="s">
        <v>216</v>
      </c>
    </row>
    <row r="41" customFormat="false" ht="15" hidden="false" customHeight="false" outlineLevel="0" collapsed="false">
      <c r="A41" s="5" t="s">
        <v>217</v>
      </c>
      <c r="B41" s="5" t="s">
        <v>23</v>
      </c>
      <c r="C41" s="5" t="s">
        <v>218</v>
      </c>
      <c r="D41" s="5" t="s">
        <v>53</v>
      </c>
      <c r="E41" s="5" t="s">
        <v>54</v>
      </c>
      <c r="F41" s="26" t="n">
        <v>37.5</v>
      </c>
      <c r="G41" s="30" t="n">
        <f aca="false">Assumptions!$B$6</f>
        <v>101.125</v>
      </c>
      <c r="H41" s="27" t="n">
        <v>1</v>
      </c>
      <c r="I41" s="28"/>
      <c r="J41" s="29" t="n">
        <f aca="false">IF(I41&lt;&gt;"",I41*H41,F41*G41*H41/144)</f>
        <v>26.3346354166667</v>
      </c>
      <c r="K41" s="13" t="s">
        <v>21</v>
      </c>
      <c r="L41" s="5" t="s">
        <v>219</v>
      </c>
    </row>
    <row r="42" customFormat="false" ht="15" hidden="false" customHeight="false" outlineLevel="0" collapsed="false">
      <c r="A42" s="5" t="s">
        <v>220</v>
      </c>
      <c r="B42" s="5" t="s">
        <v>23</v>
      </c>
      <c r="C42" s="5" t="s">
        <v>221</v>
      </c>
      <c r="D42" s="5" t="s">
        <v>53</v>
      </c>
      <c r="E42" s="5" t="s">
        <v>54</v>
      </c>
      <c r="F42" s="30" t="n">
        <f aca="false">Assumptions!$B$16</f>
        <v>4.5</v>
      </c>
      <c r="G42" s="30" t="n">
        <f aca="false">Assumptions!$B$6</f>
        <v>101.125</v>
      </c>
      <c r="H42" s="27" t="n">
        <v>1</v>
      </c>
      <c r="I42" s="28"/>
      <c r="J42" s="29" t="n">
        <f aca="false">IF(I42&lt;&gt;"",I42*H42,F42*G42*H42/144)</f>
        <v>3.16015625</v>
      </c>
      <c r="K42" s="12" t="s">
        <v>34</v>
      </c>
      <c r="L42" s="5" t="s">
        <v>222</v>
      </c>
    </row>
    <row r="43" customFormat="false" ht="15" hidden="false" customHeight="false" outlineLevel="0" collapsed="false">
      <c r="A43" s="5" t="s">
        <v>223</v>
      </c>
      <c r="B43" s="5" t="s">
        <v>23</v>
      </c>
      <c r="C43" s="5" t="s">
        <v>224</v>
      </c>
      <c r="D43" s="5" t="s">
        <v>53</v>
      </c>
      <c r="E43" s="5" t="s">
        <v>54</v>
      </c>
      <c r="F43" s="30" t="n">
        <f aca="false">2*(Assumptions!$B$10+Assumptions!$B$11)</f>
        <v>72</v>
      </c>
      <c r="G43" s="30" t="n">
        <f aca="false">Assumptions!$B$12</f>
        <v>3.5</v>
      </c>
      <c r="H43" s="27" t="n">
        <v>1</v>
      </c>
      <c r="I43" s="28"/>
      <c r="J43" s="29" t="n">
        <f aca="false">IF(I43&lt;&gt;"",I43*H43,F43*G43*H43/144)</f>
        <v>1.75</v>
      </c>
      <c r="K43" s="31" t="s">
        <v>207</v>
      </c>
      <c r="L43" s="5"/>
    </row>
    <row r="44" customFormat="false" ht="15" hidden="false" customHeight="false" outlineLevel="0" collapsed="false">
      <c r="A44" s="5" t="s">
        <v>225</v>
      </c>
      <c r="B44" s="5" t="s">
        <v>23</v>
      </c>
      <c r="C44" s="5" t="s">
        <v>210</v>
      </c>
      <c r="D44" s="5" t="s">
        <v>53</v>
      </c>
      <c r="E44" s="5" t="s">
        <v>54</v>
      </c>
      <c r="F44" s="26" t="n">
        <v>45.25</v>
      </c>
      <c r="G44" s="30" t="n">
        <f aca="false">Assumptions!$B$14</f>
        <v>9.5</v>
      </c>
      <c r="H44" s="27" t="n">
        <v>1</v>
      </c>
      <c r="I44" s="28"/>
      <c r="J44" s="29" t="n">
        <f aca="false">IF(I44&lt;&gt;"",I44*H44,F44*G44*H44/144)</f>
        <v>2.98524305555556</v>
      </c>
      <c r="K44" s="31" t="s">
        <v>207</v>
      </c>
      <c r="L44" s="5" t="s">
        <v>226</v>
      </c>
    </row>
    <row r="45" customFormat="false" ht="15" hidden="false" customHeight="false" outlineLevel="0" collapsed="false">
      <c r="A45" s="5" t="s">
        <v>227</v>
      </c>
      <c r="B45" s="5" t="s">
        <v>23</v>
      </c>
      <c r="C45" s="5" t="s">
        <v>213</v>
      </c>
      <c r="D45" s="5" t="s">
        <v>55</v>
      </c>
      <c r="E45" s="5" t="s">
        <v>54</v>
      </c>
      <c r="F45" s="26" t="n">
        <v>32.375</v>
      </c>
      <c r="G45" s="30" t="n">
        <f aca="false">Assumptions!$B$6</f>
        <v>101.125</v>
      </c>
      <c r="H45" s="27" t="n">
        <v>1</v>
      </c>
      <c r="I45" s="28"/>
      <c r="J45" s="29" t="n">
        <f aca="false">IF(I45&lt;&gt;"",I45*H45,F45*G45*H45/144)</f>
        <v>22.7355685763889</v>
      </c>
      <c r="K45" s="13" t="s">
        <v>21</v>
      </c>
      <c r="L45" s="5"/>
    </row>
    <row r="46" customFormat="false" ht="15" hidden="false" customHeight="false" outlineLevel="0" collapsed="false">
      <c r="A46" s="5" t="s">
        <v>228</v>
      </c>
      <c r="B46" s="5" t="s">
        <v>23</v>
      </c>
      <c r="C46" s="5" t="s">
        <v>229</v>
      </c>
      <c r="D46" s="5" t="s">
        <v>55</v>
      </c>
      <c r="E46" s="5" t="s">
        <v>54</v>
      </c>
      <c r="F46" s="26" t="n">
        <v>38</v>
      </c>
      <c r="G46" s="30" t="n">
        <f aca="false">Assumptions!$B$6</f>
        <v>101.125</v>
      </c>
      <c r="H46" s="27" t="n">
        <v>1</v>
      </c>
      <c r="I46" s="28"/>
      <c r="J46" s="29" t="n">
        <f aca="false">IF(I46&lt;&gt;"",I46*H46,F46*G46*H46/144)</f>
        <v>26.6857638888889</v>
      </c>
      <c r="K46" s="13" t="s">
        <v>21</v>
      </c>
      <c r="L46" s="5" t="s">
        <v>230</v>
      </c>
    </row>
    <row r="47" customFormat="false" ht="15" hidden="false" customHeight="false" outlineLevel="0" collapsed="false">
      <c r="A47" s="5" t="s">
        <v>231</v>
      </c>
      <c r="B47" s="5" t="s">
        <v>23</v>
      </c>
      <c r="C47" s="5" t="s">
        <v>224</v>
      </c>
      <c r="D47" s="5" t="s">
        <v>55</v>
      </c>
      <c r="E47" s="5" t="s">
        <v>54</v>
      </c>
      <c r="F47" s="30" t="n">
        <f aca="false">2*(Assumptions!$B$10+Assumptions!$B$11)</f>
        <v>72</v>
      </c>
      <c r="G47" s="30" t="n">
        <f aca="false">Assumptions!$B$12</f>
        <v>3.5</v>
      </c>
      <c r="H47" s="27" t="n">
        <v>1</v>
      </c>
      <c r="I47" s="28"/>
      <c r="J47" s="29" t="n">
        <f aca="false">IF(I47&lt;&gt;"",I47*H47,F47*G47*H47/144)</f>
        <v>1.75</v>
      </c>
      <c r="K47" s="31" t="s">
        <v>207</v>
      </c>
      <c r="L47" s="5" t="s">
        <v>232</v>
      </c>
    </row>
    <row r="48" customFormat="false" ht="15" hidden="false" customHeight="false" outlineLevel="0" collapsed="false">
      <c r="A48" s="5" t="s">
        <v>233</v>
      </c>
      <c r="B48" s="5" t="s">
        <v>23</v>
      </c>
      <c r="C48" s="5" t="s">
        <v>234</v>
      </c>
      <c r="D48" s="5" t="s">
        <v>55</v>
      </c>
      <c r="E48" s="5" t="s">
        <v>54</v>
      </c>
      <c r="F48" s="26" t="n">
        <v>70.375</v>
      </c>
      <c r="G48" s="30" t="n">
        <f aca="false">Assumptions!$B$14</f>
        <v>9.5</v>
      </c>
      <c r="H48" s="27" t="n">
        <v>1</v>
      </c>
      <c r="I48" s="28"/>
      <c r="J48" s="29" t="n">
        <f aca="false">IF(I48&lt;&gt;"",I48*H48,F48*G48*H48/144)</f>
        <v>4.64279513888889</v>
      </c>
      <c r="K48" s="31" t="s">
        <v>207</v>
      </c>
      <c r="L48" s="5" t="s">
        <v>235</v>
      </c>
    </row>
    <row r="49" customFormat="false" ht="15" hidden="false" customHeight="false" outlineLevel="0" collapsed="false">
      <c r="A49" s="25" t="s">
        <v>236</v>
      </c>
      <c r="B49" s="25"/>
      <c r="C49" s="25"/>
      <c r="D49" s="25"/>
      <c r="E49" s="25"/>
      <c r="F49" s="25"/>
      <c r="G49" s="25"/>
      <c r="H49" s="25"/>
      <c r="I49" s="25"/>
      <c r="J49" s="25"/>
      <c r="K49" s="25"/>
      <c r="L49" s="25"/>
    </row>
    <row r="50" customFormat="false" ht="15" hidden="false" customHeight="false" outlineLevel="0" collapsed="false">
      <c r="A50" s="5" t="s">
        <v>237</v>
      </c>
      <c r="B50" s="5" t="s">
        <v>27</v>
      </c>
      <c r="C50" s="5" t="s">
        <v>238</v>
      </c>
      <c r="D50" s="5" t="s">
        <v>51</v>
      </c>
      <c r="E50" s="5" t="s">
        <v>52</v>
      </c>
      <c r="F50" s="26" t="n">
        <v>67.5</v>
      </c>
      <c r="G50" s="26" t="n">
        <v>37</v>
      </c>
      <c r="H50" s="27" t="n">
        <v>1</v>
      </c>
      <c r="I50" s="28"/>
      <c r="J50" s="29" t="n">
        <f aca="false">IF(I50&lt;&gt;"",I50*H50,F50*G50*H50/144)</f>
        <v>17.34375</v>
      </c>
      <c r="K50" s="13" t="s">
        <v>21</v>
      </c>
      <c r="L50" s="5"/>
    </row>
    <row r="51" customFormat="false" ht="15" hidden="false" customHeight="false" outlineLevel="0" collapsed="false">
      <c r="A51" s="5" t="s">
        <v>239</v>
      </c>
      <c r="B51" s="5" t="s">
        <v>27</v>
      </c>
      <c r="C51" s="5" t="s">
        <v>238</v>
      </c>
      <c r="D51" s="5" t="s">
        <v>53</v>
      </c>
      <c r="E51" s="5" t="s">
        <v>54</v>
      </c>
      <c r="F51" s="26" t="n">
        <v>37.5</v>
      </c>
      <c r="G51" s="26" t="n">
        <v>45.25</v>
      </c>
      <c r="H51" s="27" t="n">
        <v>1</v>
      </c>
      <c r="I51" s="28"/>
      <c r="J51" s="29" t="n">
        <f aca="false">IF(I51&lt;&gt;"",I51*H51,F51*G51*H51/144)</f>
        <v>11.7838541666667</v>
      </c>
      <c r="K51" s="13" t="s">
        <v>21</v>
      </c>
      <c r="L51" s="5"/>
    </row>
    <row r="52" customFormat="false" ht="15" hidden="false" customHeight="false" outlineLevel="0" collapsed="false">
      <c r="A52" s="5" t="s">
        <v>240</v>
      </c>
      <c r="B52" s="5" t="s">
        <v>27</v>
      </c>
      <c r="C52" s="5" t="s">
        <v>238</v>
      </c>
      <c r="D52" s="5" t="s">
        <v>55</v>
      </c>
      <c r="E52" s="5" t="s">
        <v>54</v>
      </c>
      <c r="F52" s="26" t="n">
        <v>32.375</v>
      </c>
      <c r="G52" s="26" t="n">
        <v>38</v>
      </c>
      <c r="H52" s="27" t="n">
        <v>1</v>
      </c>
      <c r="I52" s="28"/>
      <c r="J52" s="29" t="n">
        <f aca="false">IF(I52&lt;&gt;"",I52*H52,F52*G52*H52/144)</f>
        <v>8.54340277777778</v>
      </c>
      <c r="K52" s="13" t="s">
        <v>21</v>
      </c>
      <c r="L52" s="5"/>
    </row>
    <row r="53" customFormat="false" ht="15" hidden="false" customHeight="false" outlineLevel="0" collapsed="false">
      <c r="A53" s="25" t="s">
        <v>241</v>
      </c>
      <c r="B53" s="25"/>
      <c r="C53" s="25"/>
      <c r="D53" s="25"/>
      <c r="E53" s="25"/>
      <c r="F53" s="25"/>
      <c r="G53" s="25"/>
      <c r="H53" s="25"/>
      <c r="I53" s="25"/>
      <c r="J53" s="25"/>
      <c r="K53" s="25"/>
      <c r="L53" s="25"/>
    </row>
    <row r="54" customFormat="false" ht="15" hidden="false" customHeight="false" outlineLevel="0" collapsed="false">
      <c r="A54" s="5" t="s">
        <v>242</v>
      </c>
      <c r="B54" s="5" t="s">
        <v>31</v>
      </c>
      <c r="C54" s="5" t="s">
        <v>243</v>
      </c>
      <c r="D54" s="5" t="s">
        <v>244</v>
      </c>
      <c r="E54" s="5" t="s">
        <v>54</v>
      </c>
      <c r="F54" s="26" t="n">
        <v>79</v>
      </c>
      <c r="G54" s="30" t="n">
        <f aca="false">Assumptions!$B$8</f>
        <v>18</v>
      </c>
      <c r="H54" s="27" t="n">
        <v>1</v>
      </c>
      <c r="I54" s="28"/>
      <c r="J54" s="29" t="n">
        <f aca="false">IF(I54&lt;&gt;"",I54*H54,F54*G54*H54/144)</f>
        <v>9.875</v>
      </c>
      <c r="K54" s="13" t="s">
        <v>21</v>
      </c>
      <c r="L54" s="5" t="s">
        <v>245</v>
      </c>
    </row>
    <row r="55" customFormat="false" ht="15" hidden="false" customHeight="false" outlineLevel="0" collapsed="false">
      <c r="A55" s="5" t="s">
        <v>246</v>
      </c>
      <c r="B55" s="5" t="s">
        <v>31</v>
      </c>
      <c r="C55" s="5" t="s">
        <v>247</v>
      </c>
      <c r="D55" s="5" t="s">
        <v>244</v>
      </c>
      <c r="E55" s="5" t="s">
        <v>54</v>
      </c>
      <c r="F55" s="26" t="n">
        <v>12</v>
      </c>
      <c r="G55" s="30" t="n">
        <f aca="false">Assumptions!$B$8-Assumptions!$B$9</f>
        <v>14</v>
      </c>
      <c r="H55" s="27" t="n">
        <v>-1</v>
      </c>
      <c r="I55" s="28"/>
      <c r="J55" s="29" t="n">
        <f aca="false">IF(I55&lt;&gt;"",I55*H55,F55*G55*H55/144)</f>
        <v>-1.16666666666667</v>
      </c>
      <c r="K55" s="12" t="s">
        <v>34</v>
      </c>
      <c r="L55" s="5" t="s">
        <v>248</v>
      </c>
    </row>
    <row r="56" customFormat="false" ht="15" hidden="false" customHeight="false" outlineLevel="0" collapsed="false">
      <c r="A56" s="5" t="s">
        <v>249</v>
      </c>
      <c r="B56" s="5" t="s">
        <v>31</v>
      </c>
      <c r="C56" s="5" t="s">
        <v>250</v>
      </c>
      <c r="D56" s="5" t="s">
        <v>244</v>
      </c>
      <c r="E56" s="5" t="s">
        <v>54</v>
      </c>
      <c r="F56" s="26" t="n">
        <v>169.875</v>
      </c>
      <c r="G56" s="30" t="n">
        <f aca="false">Assumptions!$B$8</f>
        <v>18</v>
      </c>
      <c r="H56" s="27" t="n">
        <v>1</v>
      </c>
      <c r="I56" s="28"/>
      <c r="J56" s="29" t="n">
        <f aca="false">IF(I56&lt;&gt;"",I56*H56,F56*G56*H56/144)</f>
        <v>21.234375</v>
      </c>
      <c r="K56" s="13" t="s">
        <v>21</v>
      </c>
      <c r="L56" s="5" t="s">
        <v>251</v>
      </c>
    </row>
    <row r="57" customFormat="false" ht="15" hidden="false" customHeight="false" outlineLevel="0" collapsed="false">
      <c r="A57" s="5" t="s">
        <v>252</v>
      </c>
      <c r="B57" s="5" t="s">
        <v>31</v>
      </c>
      <c r="C57" s="5" t="s">
        <v>253</v>
      </c>
      <c r="D57" s="5" t="s">
        <v>244</v>
      </c>
      <c r="E57" s="5" t="s">
        <v>54</v>
      </c>
      <c r="F57" s="26" t="n">
        <v>74.25</v>
      </c>
      <c r="G57" s="30" t="n">
        <f aca="false">Assumptions!$B$8-Assumptions!$B$9</f>
        <v>14</v>
      </c>
      <c r="H57" s="27" t="n">
        <v>-1</v>
      </c>
      <c r="I57" s="28"/>
      <c r="J57" s="29" t="n">
        <f aca="false">IF(I57&lt;&gt;"",I57*H57,F57*G57*H57/144)</f>
        <v>-7.21875</v>
      </c>
      <c r="K57" s="12" t="s">
        <v>34</v>
      </c>
      <c r="L57" s="5" t="s">
        <v>254</v>
      </c>
    </row>
    <row r="58" customFormat="false" ht="15" hidden="false" customHeight="false" outlineLevel="0" collapsed="false">
      <c r="A58" s="5" t="s">
        <v>255</v>
      </c>
      <c r="B58" s="5" t="s">
        <v>31</v>
      </c>
      <c r="C58" s="5" t="s">
        <v>256</v>
      </c>
      <c r="D58" s="5" t="s">
        <v>244</v>
      </c>
      <c r="E58" s="5" t="s">
        <v>54</v>
      </c>
      <c r="F58" s="26" t="n">
        <v>36.875</v>
      </c>
      <c r="G58" s="30" t="n">
        <f aca="false">Assumptions!$B$8-Assumptions!$B$9</f>
        <v>14</v>
      </c>
      <c r="H58" s="27" t="n">
        <v>-1</v>
      </c>
      <c r="I58" s="28"/>
      <c r="J58" s="29" t="n">
        <f aca="false">IF(I58&lt;&gt;"",I58*H58,F58*G58*H58/144)</f>
        <v>-3.58506944444444</v>
      </c>
      <c r="K58" s="12" t="s">
        <v>34</v>
      </c>
      <c r="L58" s="5" t="s">
        <v>257</v>
      </c>
    </row>
    <row r="59" customFormat="false" ht="15" hidden="false" customHeight="false" outlineLevel="0" collapsed="false">
      <c r="A59" s="25" t="s">
        <v>258</v>
      </c>
      <c r="B59" s="25"/>
      <c r="C59" s="25"/>
      <c r="D59" s="25"/>
      <c r="E59" s="25"/>
      <c r="F59" s="25"/>
      <c r="G59" s="25"/>
      <c r="H59" s="25"/>
      <c r="I59" s="25"/>
      <c r="J59" s="25"/>
      <c r="K59" s="25"/>
      <c r="L59" s="25"/>
    </row>
    <row r="60" customFormat="false" ht="15" hidden="false" customHeight="false" outlineLevel="0" collapsed="false">
      <c r="A60" s="5" t="s">
        <v>259</v>
      </c>
      <c r="B60" s="5" t="s">
        <v>260</v>
      </c>
      <c r="C60" s="5" t="s">
        <v>261</v>
      </c>
      <c r="D60" s="5" t="s">
        <v>244</v>
      </c>
      <c r="E60" s="5" t="s">
        <v>54</v>
      </c>
      <c r="F60" s="26" t="n">
        <v>87.875</v>
      </c>
      <c r="G60" s="30" t="n">
        <f aca="false">Assumptions!$B$7</f>
        <v>25.5</v>
      </c>
      <c r="H60" s="27" t="n">
        <v>1</v>
      </c>
      <c r="I60" s="28"/>
      <c r="J60" s="29" t="n">
        <f aca="false">IF(I60&lt;&gt;"",I60*H60,F60*G60*H60/144)</f>
        <v>15.5611979166667</v>
      </c>
      <c r="K60" s="13" t="s">
        <v>21</v>
      </c>
      <c r="L60" s="5" t="s">
        <v>262</v>
      </c>
    </row>
    <row r="61" customFormat="false" ht="15" hidden="false" customHeight="false" outlineLevel="0" collapsed="false">
      <c r="A61" s="5" t="s">
        <v>263</v>
      </c>
      <c r="B61" s="5" t="s">
        <v>260</v>
      </c>
      <c r="C61" s="5" t="s">
        <v>264</v>
      </c>
      <c r="D61" s="5" t="s">
        <v>244</v>
      </c>
      <c r="E61" s="5" t="s">
        <v>54</v>
      </c>
      <c r="F61" s="26" t="n">
        <v>53.5</v>
      </c>
      <c r="G61" s="30" t="n">
        <f aca="false">Assumptions!$B$7</f>
        <v>25.5</v>
      </c>
      <c r="H61" s="27" t="n">
        <v>1</v>
      </c>
      <c r="I61" s="28"/>
      <c r="J61" s="29" t="n">
        <f aca="false">IF(I61&lt;&gt;"",I61*H61,F61*G61*H61/144)</f>
        <v>9.47395833333333</v>
      </c>
      <c r="K61" s="13" t="s">
        <v>21</v>
      </c>
      <c r="L61" s="5" t="s">
        <v>265</v>
      </c>
    </row>
    <row r="62" customFormat="false" ht="15" hidden="false" customHeight="false" outlineLevel="0" collapsed="false">
      <c r="A62" s="5" t="s">
        <v>266</v>
      </c>
      <c r="B62" s="5" t="s">
        <v>260</v>
      </c>
      <c r="C62" s="5" t="s">
        <v>267</v>
      </c>
      <c r="D62" s="5" t="s">
        <v>244</v>
      </c>
      <c r="E62" s="5" t="s">
        <v>54</v>
      </c>
      <c r="F62" s="26" t="n">
        <v>46</v>
      </c>
      <c r="G62" s="30" t="n">
        <f aca="false">Assumptions!$B$7</f>
        <v>25.5</v>
      </c>
      <c r="H62" s="27" t="n">
        <v>1</v>
      </c>
      <c r="I62" s="28"/>
      <c r="J62" s="29" t="n">
        <f aca="false">IF(I62&lt;&gt;"",I62*H62,F62*G62*H62/144)</f>
        <v>8.14583333333333</v>
      </c>
      <c r="K62" s="13" t="s">
        <v>21</v>
      </c>
      <c r="L62" s="5" t="s">
        <v>268</v>
      </c>
    </row>
    <row r="63" customFormat="false" ht="15" hidden="false" customHeight="false" outlineLevel="0" collapsed="false">
      <c r="A63" s="5" t="s">
        <v>269</v>
      </c>
      <c r="B63" s="5" t="s">
        <v>260</v>
      </c>
      <c r="C63" s="5" t="s">
        <v>270</v>
      </c>
      <c r="D63" s="5" t="s">
        <v>271</v>
      </c>
      <c r="E63" s="5" t="s">
        <v>272</v>
      </c>
      <c r="F63" s="26" t="n">
        <v>183.125</v>
      </c>
      <c r="G63" s="30" t="n">
        <f aca="false">Assumptions!$B$15</f>
        <v>4.5</v>
      </c>
      <c r="H63" s="27" t="n">
        <v>1</v>
      </c>
      <c r="I63" s="28"/>
      <c r="J63" s="29" t="n">
        <f aca="false">IF(I63&lt;&gt;"",I63*H63,F63*G63*H63/144)</f>
        <v>5.72265625</v>
      </c>
      <c r="K63" s="31" t="s">
        <v>207</v>
      </c>
      <c r="L63" s="5" t="s">
        <v>273</v>
      </c>
    </row>
    <row r="64" customFormat="false" ht="15" hidden="false" customHeight="false" outlineLevel="0" collapsed="false">
      <c r="A64" s="5" t="s">
        <v>274</v>
      </c>
      <c r="B64" s="5" t="s">
        <v>260</v>
      </c>
      <c r="C64" s="5" t="s">
        <v>275</v>
      </c>
      <c r="D64" s="5" t="s">
        <v>271</v>
      </c>
      <c r="E64" s="5" t="s">
        <v>272</v>
      </c>
      <c r="F64" s="26" t="n">
        <v>12</v>
      </c>
      <c r="G64" s="26" t="n">
        <v>4</v>
      </c>
      <c r="H64" s="27" t="n">
        <v>3</v>
      </c>
      <c r="I64" s="28"/>
      <c r="J64" s="29" t="n">
        <f aca="false">IF(I64&lt;&gt;"",I64*H64,F64*G64*H64/144)</f>
        <v>1</v>
      </c>
      <c r="K64" s="31" t="s">
        <v>207</v>
      </c>
      <c r="L64" s="5" t="s">
        <v>276</v>
      </c>
    </row>
    <row r="66" customFormat="false" ht="15" hidden="false" customHeight="false" outlineLevel="0" collapsed="false">
      <c r="A66" s="15" t="s">
        <v>277</v>
      </c>
    </row>
  </sheetData>
  <mergeCells count="6">
    <mergeCell ref="A5:L5"/>
    <mergeCell ref="A24:L24"/>
    <mergeCell ref="A31:L31"/>
    <mergeCell ref="A49:L49"/>
    <mergeCell ref="A53:L53"/>
    <mergeCell ref="A59:L5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70"/>
  </cols>
  <sheetData>
    <row r="1" customFormat="false" ht="17.35" hidden="false" customHeight="false" outlineLevel="0" collapsed="false">
      <c r="A1" s="1" t="s">
        <v>278</v>
      </c>
    </row>
    <row r="2" customFormat="false" ht="15" hidden="false" customHeight="false" outlineLevel="0" collapsed="false">
      <c r="A2" s="2" t="s">
        <v>279</v>
      </c>
    </row>
    <row r="4" customFormat="false" ht="15" hidden="false" customHeight="false" outlineLevel="0" collapsed="false">
      <c r="A4" s="3" t="s">
        <v>280</v>
      </c>
      <c r="B4" s="3" t="s">
        <v>281</v>
      </c>
      <c r="C4" s="3" t="s">
        <v>282</v>
      </c>
      <c r="D4" s="3" t="s">
        <v>12</v>
      </c>
    </row>
    <row r="5" customFormat="false" ht="15" hidden="false" customHeight="false" outlineLevel="0" collapsed="false">
      <c r="A5" s="5" t="s">
        <v>283</v>
      </c>
      <c r="B5" s="32" t="n">
        <v>126</v>
      </c>
      <c r="C5" s="32" t="n">
        <v>120</v>
      </c>
      <c r="D5" s="5" t="s">
        <v>284</v>
      </c>
    </row>
    <row r="6" customFormat="false" ht="15" hidden="false" customHeight="false" outlineLevel="0" collapsed="false">
      <c r="A6" s="5" t="s">
        <v>285</v>
      </c>
      <c r="B6" s="32" t="n">
        <v>63</v>
      </c>
      <c r="C6" s="32" t="n">
        <v>55</v>
      </c>
      <c r="D6" s="5"/>
    </row>
    <row r="7" customFormat="false" ht="15" hidden="false" customHeight="false" outlineLevel="0" collapsed="false">
      <c r="A7" s="5" t="s">
        <v>286</v>
      </c>
      <c r="B7" s="32" t="n">
        <v>1</v>
      </c>
      <c r="C7" s="32" t="n">
        <v>1</v>
      </c>
      <c r="D7" s="5" t="s">
        <v>287</v>
      </c>
    </row>
    <row r="8" customFormat="false" ht="15" hidden="false" customHeight="false" outlineLevel="0" collapsed="false">
      <c r="A8" s="5" t="s">
        <v>288</v>
      </c>
      <c r="B8" s="32" t="n">
        <v>0.25</v>
      </c>
      <c r="C8" s="32" t="n">
        <v>0.25</v>
      </c>
      <c r="D8" s="5"/>
    </row>
    <row r="9" customFormat="false" ht="15" hidden="false" customHeight="false" outlineLevel="0" collapsed="false">
      <c r="A9" s="5" t="s">
        <v>289</v>
      </c>
      <c r="B9" s="33" t="n">
        <f aca="false">B5*B6/144</f>
        <v>55.125</v>
      </c>
      <c r="C9" s="33" t="n">
        <f aca="false">C5*C6/144</f>
        <v>45.8333333333333</v>
      </c>
      <c r="D9" s="5"/>
    </row>
    <row r="10" customFormat="false" ht="15" hidden="false" customHeight="false" outlineLevel="0" collapsed="false">
      <c r="A10" s="5" t="s">
        <v>290</v>
      </c>
      <c r="B10" s="33" t="n">
        <f aca="false">SUM(Takeoff!J60:J62)</f>
        <v>33.1809895833333</v>
      </c>
      <c r="C10" s="33" t="n">
        <f aca="false">SUM(Takeoff!J60:J62)</f>
        <v>33.1809895833333</v>
      </c>
      <c r="D10" s="5"/>
    </row>
    <row r="11" customFormat="false" ht="15" hidden="false" customHeight="false" outlineLevel="0" collapsed="false">
      <c r="A11" s="5" t="s">
        <v>291</v>
      </c>
      <c r="B11" s="33" t="n">
        <f aca="false">B10*(1+Assumptions!$B$5)</f>
        <v>41.4762369791667</v>
      </c>
      <c r="C11" s="33" t="n">
        <f aca="false">C10*(1+Assumptions!$B$5)</f>
        <v>41.4762369791667</v>
      </c>
      <c r="D11" s="5"/>
    </row>
    <row r="12" customFormat="false" ht="15" hidden="false" customHeight="false" outlineLevel="0" collapsed="false">
      <c r="A12" s="5" t="s">
        <v>292</v>
      </c>
      <c r="B12" s="33" t="n">
        <f aca="false">87.875</f>
        <v>87.875</v>
      </c>
      <c r="C12" s="33" t="n">
        <f aca="false">87.875</f>
        <v>87.875</v>
      </c>
      <c r="D12" s="5" t="s">
        <v>293</v>
      </c>
    </row>
    <row r="13" customFormat="false" ht="15" hidden="false" customHeight="false" outlineLevel="0" collapsed="false">
      <c r="A13" s="5" t="s">
        <v>294</v>
      </c>
      <c r="B13" s="33" t="n">
        <f aca="false">53.5+46+B8</f>
        <v>99.75</v>
      </c>
      <c r="C13" s="33" t="n">
        <f aca="false">53.5+46+C8</f>
        <v>99.75</v>
      </c>
      <c r="D13" s="5"/>
    </row>
    <row r="14" customFormat="false" ht="15" hidden="false" customHeight="false" outlineLevel="0" collapsed="false">
      <c r="A14" s="5" t="s">
        <v>295</v>
      </c>
      <c r="B14" s="33" t="n">
        <f aca="false">B5-2*B7</f>
        <v>124</v>
      </c>
      <c r="C14" s="33" t="n">
        <f aca="false">C5-2*C7</f>
        <v>118</v>
      </c>
      <c r="D14" s="5"/>
    </row>
    <row r="15" customFormat="false" ht="15" hidden="false" customHeight="false" outlineLevel="0" collapsed="false">
      <c r="A15" s="5" t="s">
        <v>296</v>
      </c>
      <c r="B15" s="33" t="n">
        <f aca="false">B6-2*B7-2*Assumptions!$B$7-2*B8</f>
        <v>9.5</v>
      </c>
      <c r="C15" s="33" t="n">
        <f aca="false">C6-2*C7-2*Assumptions!$B$7-2*C8</f>
        <v>1.5</v>
      </c>
      <c r="D15" s="5" t="s">
        <v>297</v>
      </c>
    </row>
    <row r="16" customFormat="false" ht="15" hidden="false" customHeight="false" outlineLevel="0" collapsed="false">
      <c r="A16" s="5" t="s">
        <v>298</v>
      </c>
      <c r="B16" s="33" t="n">
        <f aca="false">INT(B15/(Assumptions!$B$15+B8))</f>
        <v>2</v>
      </c>
      <c r="C16" s="33" t="n">
        <f aca="false">INT(C15/(Assumptions!$B$15+C8))</f>
        <v>0</v>
      </c>
      <c r="D16" s="5"/>
    </row>
    <row r="17" customFormat="false" ht="15" hidden="false" customHeight="false" outlineLevel="0" collapsed="false">
      <c r="A17" s="5" t="s">
        <v>299</v>
      </c>
      <c r="B17" s="33" t="n">
        <f aca="false">183.125</f>
        <v>183.125</v>
      </c>
      <c r="C17" s="33" t="n">
        <f aca="false">183.125</f>
        <v>183.125</v>
      </c>
      <c r="D17" s="5" t="s">
        <v>300</v>
      </c>
    </row>
    <row r="18" customFormat="false" ht="15" hidden="false" customHeight="false" outlineLevel="0" collapsed="false">
      <c r="A18" s="5" t="s">
        <v>301</v>
      </c>
      <c r="B18" s="33" t="str">
        <f aca="false">IF(AND(B12&lt;=B14,B13&lt;=B14),"YES","NO")</f>
        <v>YES</v>
      </c>
      <c r="C18" s="33" t="str">
        <f aca="false">IF(AND(C12&lt;=C14,C13&lt;=C14),"YES","NO")</f>
        <v>YES</v>
      </c>
      <c r="D18" s="5"/>
    </row>
    <row r="19" customFormat="false" ht="15" hidden="false" customHeight="false" outlineLevel="0" collapsed="false">
      <c r="A19" s="5" t="s">
        <v>302</v>
      </c>
      <c r="B19" s="33" t="str">
        <f aca="false">IF(B16*B14&gt;=B17,"YES","NO")</f>
        <v>YES</v>
      </c>
      <c r="C19" s="33" t="str">
        <f aca="false">IF(C16*C14&gt;=C17,"YES","NO")</f>
        <v>NO</v>
      </c>
      <c r="D19" s="5" t="s">
        <v>303</v>
      </c>
    </row>
    <row r="20" customFormat="false" ht="15" hidden="false" customHeight="false" outlineLevel="0" collapsed="false">
      <c r="A20" s="5" t="s">
        <v>304</v>
      </c>
      <c r="B20" s="33" t="str">
        <f aca="false">IF(B11&lt;=B9,"YES","NO")</f>
        <v>YES</v>
      </c>
      <c r="C20" s="33" t="str">
        <f aca="false">IF(C11&lt;=C9,"YES","NO")</f>
        <v>YES</v>
      </c>
      <c r="D20" s="5"/>
    </row>
    <row r="21" customFormat="false" ht="23.85" hidden="false" customHeight="false" outlineLevel="0" collapsed="false">
      <c r="A21" s="4" t="s">
        <v>305</v>
      </c>
      <c r="B21" s="34" t="s">
        <v>306</v>
      </c>
      <c r="C21" s="33"/>
      <c r="D21" s="5" t="s">
        <v>307</v>
      </c>
    </row>
    <row r="23" customFormat="false" ht="15" hidden="false" customHeight="false" outlineLevel="0" collapsed="false">
      <c r="A23" s="35" t="s">
        <v>308</v>
      </c>
    </row>
    <row r="24" customFormat="false" ht="15" hidden="false" customHeight="false" outlineLevel="0" collapsed="false">
      <c r="A24" s="3" t="s">
        <v>309</v>
      </c>
      <c r="B24" s="3" t="s">
        <v>115</v>
      </c>
      <c r="C24" s="3" t="s">
        <v>310</v>
      </c>
      <c r="D24" s="3" t="s">
        <v>12</v>
      </c>
    </row>
    <row r="25" customFormat="false" ht="15" hidden="false" customHeight="false" outlineLevel="0" collapsed="false">
      <c r="A25" s="5" t="s">
        <v>311</v>
      </c>
      <c r="B25" s="36" t="n">
        <v>87.875</v>
      </c>
      <c r="C25" s="37" t="n">
        <f aca="false">Assumptions!$B$7</f>
        <v>25.5</v>
      </c>
      <c r="D25" s="5" t="s">
        <v>312</v>
      </c>
    </row>
    <row r="26" customFormat="false" ht="15" hidden="false" customHeight="false" outlineLevel="0" collapsed="false">
      <c r="A26" s="5" t="s">
        <v>313</v>
      </c>
      <c r="B26" s="36" t="n">
        <v>53.5</v>
      </c>
      <c r="C26" s="37" t="n">
        <f aca="false">Assumptions!$B$7</f>
        <v>25.5</v>
      </c>
      <c r="D26" s="5" t="s">
        <v>314</v>
      </c>
    </row>
    <row r="27" customFormat="false" ht="15" hidden="false" customHeight="false" outlineLevel="0" collapsed="false">
      <c r="A27" s="5" t="s">
        <v>315</v>
      </c>
      <c r="B27" s="36" t="n">
        <v>46</v>
      </c>
      <c r="C27" s="37" t="n">
        <f aca="false">Assumptions!$B$7</f>
        <v>25.5</v>
      </c>
      <c r="D27" s="5" t="s">
        <v>316</v>
      </c>
    </row>
    <row r="28" customFormat="false" ht="15" hidden="false" customHeight="false" outlineLevel="0" collapsed="false">
      <c r="A28" s="5" t="s">
        <v>317</v>
      </c>
      <c r="B28" s="36" t="n">
        <v>67.5</v>
      </c>
      <c r="C28" s="37" t="n">
        <f aca="false">Assumptions!$B$15</f>
        <v>4.5</v>
      </c>
      <c r="D28" s="5" t="s">
        <v>318</v>
      </c>
    </row>
    <row r="29" customFormat="false" ht="15" hidden="false" customHeight="false" outlineLevel="0" collapsed="false">
      <c r="A29" s="5" t="s">
        <v>319</v>
      </c>
      <c r="B29" s="36" t="n">
        <v>45.25</v>
      </c>
      <c r="C29" s="37" t="n">
        <f aca="false">Assumptions!$B$15</f>
        <v>4.5</v>
      </c>
      <c r="D29" s="5" t="s">
        <v>320</v>
      </c>
    </row>
    <row r="30" customFormat="false" ht="15" hidden="false" customHeight="false" outlineLevel="0" collapsed="false">
      <c r="A30" s="5" t="s">
        <v>321</v>
      </c>
      <c r="B30" s="36" t="n">
        <v>70.375</v>
      </c>
      <c r="C30" s="37" t="n">
        <f aca="false">Assumptions!$B$15</f>
        <v>4.5</v>
      </c>
      <c r="D30" s="5" t="s">
        <v>322</v>
      </c>
    </row>
    <row r="31" customFormat="false" ht="15" hidden="false" customHeight="false" outlineLevel="0" collapsed="false">
      <c r="A31" s="5" t="s">
        <v>323</v>
      </c>
      <c r="B31" s="36" t="n">
        <v>12</v>
      </c>
      <c r="C31" s="5" t="n">
        <v>4</v>
      </c>
      <c r="D31" s="5" t="s">
        <v>324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4" min="2" style="0" width="42"/>
  </cols>
  <sheetData>
    <row r="1" customFormat="false" ht="17.35" hidden="false" customHeight="false" outlineLevel="0" collapsed="false">
      <c r="A1" s="1" t="s">
        <v>325</v>
      </c>
    </row>
    <row r="2" customFormat="false" ht="15" hidden="false" customHeight="false" outlineLevel="0" collapsed="false">
      <c r="A2" s="2" t="s">
        <v>326</v>
      </c>
    </row>
    <row r="4" customFormat="false" ht="15" hidden="false" customHeight="false" outlineLevel="0" collapsed="false">
      <c r="A4" s="3" t="s">
        <v>327</v>
      </c>
      <c r="B4" s="3" t="s">
        <v>328</v>
      </c>
      <c r="C4" s="3" t="s">
        <v>329</v>
      </c>
      <c r="D4" s="3" t="s">
        <v>330</v>
      </c>
    </row>
    <row r="5" customFormat="false" ht="15" hidden="false" customHeight="false" outlineLevel="0" collapsed="false">
      <c r="A5" s="4" t="s">
        <v>331</v>
      </c>
      <c r="B5" s="5" t="s">
        <v>332</v>
      </c>
      <c r="C5" s="5" t="s">
        <v>333</v>
      </c>
      <c r="D5" s="5" t="s">
        <v>334</v>
      </c>
    </row>
    <row r="6" customFormat="false" ht="15" hidden="false" customHeight="false" outlineLevel="0" collapsed="false">
      <c r="A6" s="4" t="s">
        <v>335</v>
      </c>
      <c r="B6" s="38" t="n">
        <f aca="false">SUMIFS(Takeoff!$J$5:$J$64,Takeoff!$B$5:$B$64,"Shower floor mosaic",Takeoff!$D$5:$D$64,"Bath 3")</f>
        <v>17.34375</v>
      </c>
      <c r="C6" s="38" t="n">
        <f aca="false">SUMIFS(Takeoff!$J$5:$J$64,Takeoff!$B$5:$B$64,"Shower floor mosaic",Takeoff!$D$5:$D$64,"Bath 1")</f>
        <v>11.7838541666667</v>
      </c>
      <c r="D6" s="38" t="n">
        <f aca="false">SUMIFS(Takeoff!$J$5:$J$64,Takeoff!$B$5:$B$64,"Shower floor mosaic",Takeoff!$D$5:$D$64,"Bath 2")</f>
        <v>8.54340277777778</v>
      </c>
    </row>
    <row r="7" customFormat="false" ht="15" hidden="false" customHeight="false" outlineLevel="0" collapsed="false">
      <c r="A7" s="4" t="s">
        <v>336</v>
      </c>
      <c r="B7" s="38" t="n">
        <f aca="false">SUMIFS(Takeoff!$J$5:$J$64,Takeoff!$B$5:$B$64,"Shower wall tile",Takeoff!$D$5:$D$64,"Bath 3")</f>
        <v>101.926649305556</v>
      </c>
      <c r="C7" s="38" t="n">
        <f aca="false">SUMIFS(Takeoff!$J$5:$J$64,Takeoff!$B$5:$B$64,"Shower wall tile",Takeoff!$D$5:$D$64,"Bath 1")</f>
        <v>92.341796875</v>
      </c>
      <c r="D7" s="38" t="n">
        <f aca="false">SUMIFS(Takeoff!$J$5:$J$64,Takeoff!$B$5:$B$64,"Shower wall tile",Takeoff!$D$5:$D$64,"Bath 2")</f>
        <v>55.8141276041667</v>
      </c>
    </row>
    <row r="8" customFormat="false" ht="15" hidden="false" customHeight="false" outlineLevel="0" collapsed="false">
      <c r="A8" s="4" t="s">
        <v>337</v>
      </c>
      <c r="B8" s="5" t="s">
        <v>338</v>
      </c>
      <c r="C8" s="5" t="s">
        <v>339</v>
      </c>
      <c r="D8" s="5" t="s">
        <v>340</v>
      </c>
    </row>
    <row r="9" customFormat="false" ht="15" hidden="false" customHeight="false" outlineLevel="0" collapsed="false">
      <c r="A9" s="4" t="s">
        <v>341</v>
      </c>
      <c r="B9" s="5" t="s">
        <v>342</v>
      </c>
      <c r="C9" s="5" t="s">
        <v>343</v>
      </c>
      <c r="D9" s="5" t="s">
        <v>344</v>
      </c>
    </row>
    <row r="10" customFormat="false" ht="23.85" hidden="false" customHeight="false" outlineLevel="0" collapsed="false">
      <c r="A10" s="4" t="s">
        <v>345</v>
      </c>
      <c r="B10" s="5" t="s">
        <v>346</v>
      </c>
      <c r="C10" s="5" t="s">
        <v>346</v>
      </c>
      <c r="D10" s="5" t="s">
        <v>347</v>
      </c>
    </row>
    <row r="11" customFormat="false" ht="23.85" hidden="false" customHeight="false" outlineLevel="0" collapsed="false">
      <c r="A11" s="4" t="s">
        <v>348</v>
      </c>
      <c r="B11" s="5" t="s">
        <v>349</v>
      </c>
      <c r="C11" s="5" t="s">
        <v>350</v>
      </c>
      <c r="D11" s="5" t="s">
        <v>350</v>
      </c>
    </row>
    <row r="12" customFormat="false" ht="23.85" hidden="false" customHeight="false" outlineLevel="0" collapsed="false">
      <c r="A12" s="4" t="s">
        <v>351</v>
      </c>
      <c r="B12" s="5" t="s">
        <v>352</v>
      </c>
      <c r="C12" s="5" t="s">
        <v>353</v>
      </c>
      <c r="D12" s="5" t="s">
        <v>354</v>
      </c>
    </row>
    <row r="13" customFormat="false" ht="15" hidden="false" customHeight="false" outlineLevel="0" collapsed="false">
      <c r="A13" s="4" t="s">
        <v>355</v>
      </c>
      <c r="B13" s="5" t="s">
        <v>356</v>
      </c>
      <c r="C13" s="5" t="s">
        <v>356</v>
      </c>
      <c r="D13" s="5" t="s">
        <v>356</v>
      </c>
    </row>
    <row r="14" customFormat="false" ht="15" hidden="false" customHeight="false" outlineLevel="0" collapsed="false">
      <c r="A14" s="4" t="s">
        <v>357</v>
      </c>
      <c r="B14" s="5" t="s">
        <v>358</v>
      </c>
      <c r="C14" s="5" t="s">
        <v>359</v>
      </c>
      <c r="D14" s="5" t="s">
        <v>359</v>
      </c>
    </row>
    <row r="15" customFormat="false" ht="35.05" hidden="false" customHeight="false" outlineLevel="0" collapsed="false">
      <c r="A15" s="4" t="s">
        <v>360</v>
      </c>
      <c r="B15" s="5" t="s">
        <v>361</v>
      </c>
      <c r="C15" s="5" t="s">
        <v>362</v>
      </c>
      <c r="D15" s="5" t="s">
        <v>363</v>
      </c>
    </row>
    <row r="16" customFormat="false" ht="15" hidden="false" customHeight="false" outlineLevel="0" collapsed="false">
      <c r="A16" s="4" t="s">
        <v>364</v>
      </c>
      <c r="B16" s="5" t="s">
        <v>365</v>
      </c>
      <c r="C16" s="5" t="s">
        <v>365</v>
      </c>
      <c r="D16" s="5" t="s">
        <v>365</v>
      </c>
    </row>
    <row r="17" customFormat="false" ht="23.85" hidden="false" customHeight="false" outlineLevel="0" collapsed="false">
      <c r="A17" s="4" t="s">
        <v>366</v>
      </c>
      <c r="B17" s="5" t="s">
        <v>367</v>
      </c>
      <c r="C17" s="5" t="s">
        <v>368</v>
      </c>
      <c r="D17" s="5" t="s">
        <v>369</v>
      </c>
    </row>
    <row r="18" customFormat="false" ht="15" hidden="false" customHeight="false" outlineLevel="0" collapsed="false">
      <c r="A18" s="4" t="s">
        <v>370</v>
      </c>
      <c r="B18" s="5" t="s">
        <v>371</v>
      </c>
      <c r="C18" s="5" t="s">
        <v>372</v>
      </c>
      <c r="D18" s="5" t="s">
        <v>373</v>
      </c>
    </row>
    <row r="19" customFormat="false" ht="23.85" hidden="false" customHeight="false" outlineLevel="0" collapsed="false">
      <c r="A19" s="4" t="s">
        <v>374</v>
      </c>
      <c r="B19" s="5" t="s">
        <v>375</v>
      </c>
      <c r="C19" s="5" t="s">
        <v>376</v>
      </c>
      <c r="D19" s="5" t="s">
        <v>377</v>
      </c>
    </row>
    <row r="20" customFormat="false" ht="15" hidden="false" customHeight="false" outlineLevel="0" collapsed="false">
      <c r="A20" s="4" t="s">
        <v>378</v>
      </c>
      <c r="B20" s="5" t="s">
        <v>379</v>
      </c>
      <c r="C20" s="5" t="s">
        <v>379</v>
      </c>
      <c r="D20" s="5" t="s">
        <v>380</v>
      </c>
    </row>
    <row r="21" customFormat="false" ht="15" hidden="false" customHeight="false" outlineLevel="0" collapsed="false">
      <c r="A21" s="4" t="s">
        <v>381</v>
      </c>
      <c r="B21" s="5" t="s">
        <v>382</v>
      </c>
      <c r="C21" s="5" t="s">
        <v>383</v>
      </c>
      <c r="D21" s="5" t="s">
        <v>383</v>
      </c>
    </row>
    <row r="22" customFormat="false" ht="23.85" hidden="false" customHeight="false" outlineLevel="0" collapsed="false">
      <c r="A22" s="4" t="s">
        <v>384</v>
      </c>
      <c r="B22" s="5" t="s">
        <v>385</v>
      </c>
      <c r="C22" s="5" t="s">
        <v>350</v>
      </c>
      <c r="D22" s="5" t="s">
        <v>350</v>
      </c>
    </row>
    <row r="23" customFormat="false" ht="23.85" hidden="false" customHeight="false" outlineLevel="0" collapsed="false">
      <c r="A23" s="4" t="s">
        <v>386</v>
      </c>
      <c r="B23" s="5" t="s">
        <v>387</v>
      </c>
      <c r="C23" s="5" t="s">
        <v>350</v>
      </c>
      <c r="D23" s="5" t="s">
        <v>350</v>
      </c>
    </row>
    <row r="24" customFormat="false" ht="15" hidden="false" customHeight="false" outlineLevel="0" collapsed="false">
      <c r="A24" s="4" t="s">
        <v>388</v>
      </c>
      <c r="B24" s="5" t="s">
        <v>389</v>
      </c>
      <c r="C24" s="5" t="s">
        <v>390</v>
      </c>
      <c r="D24" s="5" t="s">
        <v>350</v>
      </c>
    </row>
    <row r="25" customFormat="false" ht="15" hidden="false" customHeight="false" outlineLevel="0" collapsed="false">
      <c r="A25" s="4" t="s">
        <v>391</v>
      </c>
      <c r="B25" s="5" t="s">
        <v>392</v>
      </c>
      <c r="C25" s="5" t="s">
        <v>393</v>
      </c>
      <c r="D25" s="5" t="s">
        <v>393</v>
      </c>
    </row>
    <row r="26" customFormat="false" ht="15" hidden="false" customHeight="false" outlineLevel="0" collapsed="false">
      <c r="A26" s="4" t="s">
        <v>394</v>
      </c>
      <c r="B26" s="5" t="s">
        <v>395</v>
      </c>
      <c r="C26" s="5" t="s">
        <v>396</v>
      </c>
      <c r="D26" s="5" t="s">
        <v>396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46"/>
    <col collapsed="false" customWidth="true" hidden="false" outlineLevel="0" max="3" min="3" style="0" width="11"/>
    <col collapsed="false" customWidth="true" hidden="false" outlineLevel="0" max="4" min="4" style="0" width="10"/>
    <col collapsed="false" customWidth="true" hidden="false" outlineLevel="0" max="5" min="5" style="0" width="12"/>
    <col collapsed="false" customWidth="true" hidden="false" outlineLevel="0" max="6" min="6" style="0" width="50"/>
  </cols>
  <sheetData>
    <row r="1" customFormat="false" ht="17.35" hidden="false" customHeight="false" outlineLevel="0" collapsed="false">
      <c r="A1" s="1" t="s">
        <v>397</v>
      </c>
    </row>
    <row r="2" customFormat="false" ht="15" hidden="false" customHeight="false" outlineLevel="0" collapsed="false">
      <c r="A2" s="2" t="s">
        <v>398</v>
      </c>
    </row>
    <row r="4" customFormat="false" ht="15" hidden="false" customHeight="false" outlineLevel="0" collapsed="false">
      <c r="A4" s="3" t="s">
        <v>114</v>
      </c>
      <c r="B4" s="3" t="s">
        <v>399</v>
      </c>
      <c r="C4" s="3" t="s">
        <v>400</v>
      </c>
      <c r="D4" s="3" t="s">
        <v>401</v>
      </c>
      <c r="E4" s="3" t="s">
        <v>66</v>
      </c>
      <c r="F4" s="3" t="s">
        <v>12</v>
      </c>
    </row>
    <row r="5" customFormat="false" ht="15" hidden="false" customHeight="false" outlineLevel="0" collapsed="false">
      <c r="A5" s="5" t="s">
        <v>402</v>
      </c>
      <c r="B5" s="5" t="s">
        <v>403</v>
      </c>
      <c r="C5" s="6" t="n">
        <f aca="false">(SUMIFS(Takeoff!$J$5:$J$64,Takeoff!$B$5:$B$64,"Bath floor tile")+SUMIFS(Takeoff!$J$5:$J$64,Takeoff!$B$5:$B$64,"Shower wall tile"))*1.1/Assumptions!$B$17</f>
        <v>10.1962367078993</v>
      </c>
      <c r="D5" s="4" t="n">
        <f aca="false">ROUNDUP(C5,0)</f>
        <v>11</v>
      </c>
      <c r="E5" s="5" t="s">
        <v>404</v>
      </c>
      <c r="F5" s="5" t="s">
        <v>405</v>
      </c>
    </row>
    <row r="6" customFormat="false" ht="15" hidden="false" customHeight="false" outlineLevel="0" collapsed="false">
      <c r="A6" s="5" t="s">
        <v>406</v>
      </c>
      <c r="B6" s="5" t="s">
        <v>407</v>
      </c>
      <c r="C6" s="6" t="n">
        <f aca="false">(SUMIFS(Takeoff!$J$5:$J$64,Takeoff!$B$5:$B$64,"Shower floor mosaic")+SUMIFS(Takeoff!$J$5:$J$64,Takeoff!$B$5:$B$64,"Backsplash tile"))*1.1/Assumptions!$B$18</f>
        <v>0.781136067708333</v>
      </c>
      <c r="D6" s="4" t="n">
        <f aca="false">ROUNDUP(C6,0)</f>
        <v>1</v>
      </c>
      <c r="E6" s="5" t="s">
        <v>404</v>
      </c>
      <c r="F6" s="5" t="s">
        <v>408</v>
      </c>
    </row>
    <row r="7" customFormat="false" ht="23.85" hidden="false" customHeight="false" outlineLevel="0" collapsed="false">
      <c r="A7" s="5" t="s">
        <v>409</v>
      </c>
      <c r="B7" s="5" t="s">
        <v>410</v>
      </c>
      <c r="C7" s="6" t="n">
        <f aca="false">(SUMIFS(Takeoff!$J$5:$J$64,Takeoff!$B$5:$B$64,"Bath floor tile")+SUMIFS(Takeoff!$J$5:$J$64,Takeoff!$B$5:$B$64,"Shower wall tile"))*((12+24)/(12*24))*0.125*0.375*144*Assumptions!$B$19*1.15</f>
        <v>20.8663666900635</v>
      </c>
      <c r="D7" s="4" t="n">
        <f aca="false">ROUNDUP(C7,0)</f>
        <v>21</v>
      </c>
      <c r="E7" s="5" t="s">
        <v>411</v>
      </c>
      <c r="F7" s="5" t="s">
        <v>412</v>
      </c>
    </row>
    <row r="8" customFormat="false" ht="15" hidden="false" customHeight="false" outlineLevel="0" collapsed="false">
      <c r="A8" s="5" t="s">
        <v>413</v>
      </c>
      <c r="B8" s="5" t="s">
        <v>414</v>
      </c>
      <c r="C8" s="6" t="n">
        <f aca="false">SUMIFS(Takeoff!$J$5:$J$64,Takeoff!$B$5:$B$64,"Shower floor mosaic")*((2+2)/(2*2))*0.125*0.25*144*Assumptions!$B$19*1.15</f>
        <v>11.306952734375</v>
      </c>
      <c r="D8" s="4" t="n">
        <f aca="false">ROUNDUP(C8,0)</f>
        <v>12</v>
      </c>
      <c r="E8" s="5" t="s">
        <v>411</v>
      </c>
      <c r="F8" s="5" t="s">
        <v>415</v>
      </c>
    </row>
    <row r="9" customFormat="false" ht="15" hidden="false" customHeight="false" outlineLevel="0" collapsed="false">
      <c r="A9" s="5" t="s">
        <v>416</v>
      </c>
      <c r="B9" s="5" t="s">
        <v>414</v>
      </c>
      <c r="C9" s="6" t="n">
        <f aca="false">SUMIFS(Takeoff!$J$5:$J$64,Takeoff!$B$5:$B$64,"Backsplash tile")*((8+8)/(8*8))*0.0625*0.375*144*Assumptions!$B$19*1.15</f>
        <v>1.07710078125</v>
      </c>
      <c r="D9" s="4" t="n">
        <f aca="false">ROUNDUP(C9,0)</f>
        <v>2</v>
      </c>
      <c r="E9" s="5" t="s">
        <v>411</v>
      </c>
      <c r="F9" s="5" t="s">
        <v>417</v>
      </c>
    </row>
    <row r="10" customFormat="false" ht="15" hidden="false" customHeight="false" outlineLevel="0" collapsed="false">
      <c r="A10" s="5" t="s">
        <v>418</v>
      </c>
      <c r="B10" s="5" t="s">
        <v>419</v>
      </c>
      <c r="C10" s="6" t="n">
        <f aca="false">SUMIFS(Takeoff!$J$5:$J$64,Takeoff!$B$5:$B$64,"Shower wall tile",Takeoff!$H$5:$H$64,"&gt;0")*(1+Assumptions!$B$23)/Assumptions!$B$20</f>
        <v>9.29618038601345</v>
      </c>
      <c r="D10" s="4" t="n">
        <f aca="false">ROUNDUP(C10,0)</f>
        <v>10</v>
      </c>
      <c r="E10" s="5" t="s">
        <v>420</v>
      </c>
      <c r="F10" s="5" t="s">
        <v>421</v>
      </c>
    </row>
    <row r="11" customFormat="false" ht="15" hidden="false" customHeight="false" outlineLevel="0" collapsed="false">
      <c r="A11" s="5" t="s">
        <v>422</v>
      </c>
      <c r="B11" s="5" t="s">
        <v>423</v>
      </c>
      <c r="C11" s="39" t="n">
        <v>3</v>
      </c>
      <c r="D11" s="4" t="n">
        <f aca="false">ROUNDUP(C11,0)</f>
        <v>3</v>
      </c>
      <c r="E11" s="5" t="s">
        <v>424</v>
      </c>
      <c r="F11" s="5" t="s">
        <v>425</v>
      </c>
    </row>
    <row r="12" customFormat="false" ht="15" hidden="false" customHeight="false" outlineLevel="0" collapsed="false">
      <c r="A12" s="5" t="s">
        <v>426</v>
      </c>
      <c r="B12" s="5" t="s">
        <v>423</v>
      </c>
      <c r="C12" s="39" t="n">
        <v>3</v>
      </c>
      <c r="D12" s="4" t="n">
        <f aca="false">ROUNDUP(C12,0)</f>
        <v>3</v>
      </c>
      <c r="E12" s="5" t="s">
        <v>424</v>
      </c>
      <c r="F12" s="5"/>
    </row>
    <row r="13" customFormat="false" ht="15" hidden="false" customHeight="false" outlineLevel="0" collapsed="false">
      <c r="A13" s="5" t="s">
        <v>427</v>
      </c>
      <c r="B13" s="5" t="s">
        <v>428</v>
      </c>
      <c r="C13" s="39" t="n">
        <v>4</v>
      </c>
      <c r="D13" s="4" t="n">
        <f aca="false">ROUNDUP(C13,0)</f>
        <v>4</v>
      </c>
      <c r="E13" s="5" t="s">
        <v>429</v>
      </c>
      <c r="F13" s="5" t="s">
        <v>430</v>
      </c>
    </row>
    <row r="14" customFormat="false" ht="15" hidden="false" customHeight="false" outlineLevel="0" collapsed="false">
      <c r="A14" s="5" t="s">
        <v>431</v>
      </c>
      <c r="B14" s="5" t="s">
        <v>432</v>
      </c>
      <c r="C14" s="39" t="n">
        <v>3</v>
      </c>
      <c r="D14" s="4" t="n">
        <f aca="false">ROUNDUP(C14,0)</f>
        <v>3</v>
      </c>
      <c r="E14" s="5" t="s">
        <v>424</v>
      </c>
      <c r="F14" s="5" t="s">
        <v>433</v>
      </c>
    </row>
    <row r="15" customFormat="false" ht="15" hidden="false" customHeight="false" outlineLevel="0" collapsed="false">
      <c r="A15" s="5" t="s">
        <v>434</v>
      </c>
      <c r="B15" s="5" t="s">
        <v>435</v>
      </c>
      <c r="C15" s="6" t="n">
        <f aca="false">SUMIFS(Takeoff!$J$5:$J$64,Takeoff!$B$5:$B$64,"Bath floor tile")*(1+Assumptions!$B$23)/Assumptions!$B$21</f>
        <v>2.57024297518004</v>
      </c>
      <c r="D15" s="4" t="n">
        <f aca="false">ROUNDUP(C15,0)</f>
        <v>3</v>
      </c>
      <c r="E15" s="5" t="s">
        <v>436</v>
      </c>
      <c r="F15" s="5" t="s">
        <v>437</v>
      </c>
    </row>
    <row r="16" customFormat="false" ht="15" hidden="false" customHeight="false" outlineLevel="0" collapsed="false">
      <c r="A16" s="5" t="s">
        <v>438</v>
      </c>
      <c r="B16" s="5" t="s">
        <v>439</v>
      </c>
      <c r="C16" s="39" t="n">
        <v>12</v>
      </c>
      <c r="D16" s="4" t="n">
        <f aca="false">ROUNDUP(C16,0)</f>
        <v>12</v>
      </c>
      <c r="E16" s="5" t="s">
        <v>440</v>
      </c>
      <c r="F16" s="5" t="s">
        <v>441</v>
      </c>
    </row>
    <row r="17" customFormat="false" ht="15" hidden="false" customHeight="false" outlineLevel="0" collapsed="false">
      <c r="A17" s="5" t="s">
        <v>442</v>
      </c>
      <c r="B17" s="5" t="s">
        <v>443</v>
      </c>
      <c r="C17" s="39" t="n">
        <v>2</v>
      </c>
      <c r="D17" s="4" t="n">
        <f aca="false">ROUNDUP(C17,0)</f>
        <v>2</v>
      </c>
      <c r="E17" s="5" t="s">
        <v>440</v>
      </c>
      <c r="F17" s="5"/>
    </row>
    <row r="18" customFormat="false" ht="15" hidden="false" customHeight="false" outlineLevel="0" collapsed="false">
      <c r="A18" s="5" t="s">
        <v>444</v>
      </c>
      <c r="B18" s="5" t="s">
        <v>445</v>
      </c>
      <c r="C18" s="39" t="n">
        <v>6</v>
      </c>
      <c r="D18" s="4" t="n">
        <f aca="false">ROUNDUP(C18,0)</f>
        <v>6</v>
      </c>
      <c r="E18" s="5" t="s">
        <v>446</v>
      </c>
      <c r="F18" s="5" t="s">
        <v>447</v>
      </c>
    </row>
    <row r="19" customFormat="false" ht="15" hidden="false" customHeight="false" outlineLevel="0" collapsed="false">
      <c r="A19" s="5" t="s">
        <v>448</v>
      </c>
      <c r="B19" s="5" t="s">
        <v>449</v>
      </c>
      <c r="C19" s="6" t="n">
        <f aca="false">(SUMIFS(Takeoff!$J$5:$J$64,Takeoff!$B$5:$B$64,"Bath floor tile")+SUMIFS(Takeoff!$J$5:$J$64,Takeoff!$B$5:$B$64,"Shower wall tile"))*1.25/2*3</f>
        <v>695.197957356771</v>
      </c>
      <c r="D19" s="4" t="n">
        <f aca="false">ROUNDUP(C19,0)</f>
        <v>696</v>
      </c>
      <c r="E19" s="5" t="s">
        <v>450</v>
      </c>
      <c r="F19" s="5" t="s">
        <v>451</v>
      </c>
    </row>
    <row r="20" customFormat="false" ht="15" hidden="false" customHeight="false" outlineLevel="0" collapsed="false">
      <c r="A20" s="5" t="s">
        <v>452</v>
      </c>
      <c r="B20" s="5" t="s">
        <v>453</v>
      </c>
      <c r="C20" s="39" t="n">
        <v>14</v>
      </c>
      <c r="D20" s="4" t="n">
        <f aca="false">ROUNDUP(C20,0)</f>
        <v>14</v>
      </c>
      <c r="E20" s="5" t="s">
        <v>454</v>
      </c>
      <c r="F20" s="5" t="s">
        <v>455</v>
      </c>
    </row>
    <row r="21" customFormat="false" ht="15" hidden="false" customHeight="false" outlineLevel="0" collapsed="false">
      <c r="A21" s="5" t="s">
        <v>456</v>
      </c>
      <c r="B21" s="5" t="s">
        <v>457</v>
      </c>
      <c r="C21" s="39" t="n">
        <v>1</v>
      </c>
      <c r="D21" s="4" t="n">
        <f aca="false">ROUNDUP(C21,0)</f>
        <v>1</v>
      </c>
      <c r="E21" s="5" t="s">
        <v>458</v>
      </c>
      <c r="F21" s="5"/>
    </row>
    <row r="22" customFormat="false" ht="15" hidden="false" customHeight="false" outlineLevel="0" collapsed="false">
      <c r="A22" s="5" t="s">
        <v>459</v>
      </c>
      <c r="B22" s="5" t="s">
        <v>460</v>
      </c>
      <c r="C22" s="39" t="n">
        <v>3</v>
      </c>
      <c r="D22" s="4" t="n">
        <f aca="false">ROUNDUP(C22,0)</f>
        <v>3</v>
      </c>
      <c r="E22" s="5" t="s">
        <v>429</v>
      </c>
      <c r="F22" s="5" t="s">
        <v>461</v>
      </c>
    </row>
    <row r="23" customFormat="false" ht="23.85" hidden="false" customHeight="false" outlineLevel="0" collapsed="false">
      <c r="A23" s="5" t="s">
        <v>462</v>
      </c>
      <c r="B23" s="5" t="s">
        <v>463</v>
      </c>
      <c r="C23" s="39" t="n">
        <v>3</v>
      </c>
      <c r="D23" s="4" t="n">
        <f aca="false">ROUNDUP(C23,0)</f>
        <v>3</v>
      </c>
      <c r="E23" s="5" t="s">
        <v>429</v>
      </c>
      <c r="F23" s="5" t="s">
        <v>464</v>
      </c>
    </row>
    <row r="24" customFormat="false" ht="15" hidden="false" customHeight="false" outlineLevel="0" collapsed="false">
      <c r="A24" s="5" t="s">
        <v>465</v>
      </c>
      <c r="B24" s="5" t="s">
        <v>466</v>
      </c>
      <c r="C24" s="39" t="n">
        <v>1</v>
      </c>
      <c r="D24" s="4" t="n">
        <f aca="false">ROUNDUP(C24,0)</f>
        <v>1</v>
      </c>
      <c r="E24" s="5" t="s">
        <v>467</v>
      </c>
      <c r="F24" s="5" t="s">
        <v>468</v>
      </c>
    </row>
    <row r="25" customFormat="false" ht="15" hidden="false" customHeight="false" outlineLevel="0" collapsed="false">
      <c r="A25" s="5" t="s">
        <v>469</v>
      </c>
      <c r="B25" s="5" t="s">
        <v>470</v>
      </c>
      <c r="C25" s="39"/>
      <c r="D25" s="4"/>
      <c r="E25" s="5" t="s">
        <v>471</v>
      </c>
      <c r="F25" s="5" t="s">
        <v>472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58"/>
    <col collapsed="false" customWidth="true" hidden="false" outlineLevel="0" max="4" min="4" style="0" width="22"/>
    <col collapsed="false" customWidth="true" hidden="false" outlineLevel="0" max="5" min="5" style="0" width="18"/>
    <col collapsed="false" customWidth="true" hidden="false" outlineLevel="0" max="6" min="6" style="0" width="10"/>
  </cols>
  <sheetData>
    <row r="1" customFormat="false" ht="17.35" hidden="false" customHeight="false" outlineLevel="0" collapsed="false">
      <c r="A1" s="1" t="s">
        <v>473</v>
      </c>
    </row>
    <row r="2" customFormat="false" ht="15" hidden="false" customHeight="false" outlineLevel="0" collapsed="false">
      <c r="A2" s="2" t="s">
        <v>474</v>
      </c>
    </row>
    <row r="4" customFormat="false" ht="15" hidden="false" customHeight="false" outlineLevel="0" collapsed="false">
      <c r="A4" s="3" t="s">
        <v>475</v>
      </c>
      <c r="B4" s="3" t="s">
        <v>114</v>
      </c>
      <c r="C4" s="3" t="s">
        <v>476</v>
      </c>
      <c r="D4" s="3" t="s">
        <v>477</v>
      </c>
      <c r="E4" s="3" t="s">
        <v>478</v>
      </c>
      <c r="F4" s="3" t="s">
        <v>479</v>
      </c>
    </row>
    <row r="5" customFormat="false" ht="23.85" hidden="false" customHeight="false" outlineLevel="0" collapsed="false">
      <c r="A5" s="5" t="n">
        <v>1</v>
      </c>
      <c r="B5" s="5" t="s">
        <v>480</v>
      </c>
      <c r="C5" s="5" t="s">
        <v>481</v>
      </c>
      <c r="D5" s="5" t="s">
        <v>31</v>
      </c>
      <c r="E5" s="5" t="s">
        <v>482</v>
      </c>
      <c r="F5" s="40" t="s">
        <v>483</v>
      </c>
    </row>
    <row r="6" customFormat="false" ht="23.85" hidden="false" customHeight="false" outlineLevel="0" collapsed="false">
      <c r="A6" s="5" t="n">
        <v>2</v>
      </c>
      <c r="B6" s="5" t="s">
        <v>484</v>
      </c>
      <c r="C6" s="5" t="s">
        <v>485</v>
      </c>
      <c r="D6" s="5" t="s">
        <v>486</v>
      </c>
      <c r="E6" s="5" t="s">
        <v>487</v>
      </c>
      <c r="F6" s="40" t="s">
        <v>483</v>
      </c>
    </row>
    <row r="7" customFormat="false" ht="23.85" hidden="false" customHeight="false" outlineLevel="0" collapsed="false">
      <c r="A7" s="5" t="n">
        <v>3</v>
      </c>
      <c r="B7" s="5" t="s">
        <v>488</v>
      </c>
      <c r="C7" s="5" t="s">
        <v>489</v>
      </c>
      <c r="D7" s="5" t="s">
        <v>486</v>
      </c>
      <c r="E7" s="5" t="s">
        <v>487</v>
      </c>
      <c r="F7" s="40" t="s">
        <v>490</v>
      </c>
    </row>
    <row r="8" customFormat="false" ht="23.85" hidden="false" customHeight="false" outlineLevel="0" collapsed="false">
      <c r="A8" s="5" t="n">
        <v>4</v>
      </c>
      <c r="B8" s="5" t="s">
        <v>491</v>
      </c>
      <c r="C8" s="5" t="s">
        <v>492</v>
      </c>
      <c r="D8" s="5" t="s">
        <v>493</v>
      </c>
      <c r="E8" s="5" t="s">
        <v>494</v>
      </c>
      <c r="F8" s="40" t="s">
        <v>490</v>
      </c>
    </row>
    <row r="9" customFormat="false" ht="15" hidden="false" customHeight="false" outlineLevel="0" collapsed="false">
      <c r="A9" s="5" t="n">
        <v>5</v>
      </c>
      <c r="B9" s="5" t="s">
        <v>495</v>
      </c>
      <c r="C9" s="5" t="s">
        <v>496</v>
      </c>
      <c r="D9" s="5" t="s">
        <v>497</v>
      </c>
      <c r="E9" s="5" t="s">
        <v>498</v>
      </c>
      <c r="F9" s="40" t="s">
        <v>490</v>
      </c>
    </row>
    <row r="10" customFormat="false" ht="23.85" hidden="false" customHeight="false" outlineLevel="0" collapsed="false">
      <c r="A10" s="5" t="n">
        <v>6</v>
      </c>
      <c r="B10" s="5" t="s">
        <v>499</v>
      </c>
      <c r="C10" s="5" t="s">
        <v>500</v>
      </c>
      <c r="D10" s="5" t="s">
        <v>13</v>
      </c>
      <c r="E10" s="5" t="s">
        <v>482</v>
      </c>
      <c r="F10" s="12" t="s">
        <v>501</v>
      </c>
    </row>
    <row r="11" customFormat="false" ht="15" hidden="false" customHeight="false" outlineLevel="0" collapsed="false">
      <c r="A11" s="5" t="n">
        <v>7</v>
      </c>
      <c r="B11" s="5" t="s">
        <v>502</v>
      </c>
      <c r="C11" s="5" t="s">
        <v>503</v>
      </c>
      <c r="D11" s="5" t="s">
        <v>504</v>
      </c>
      <c r="E11" s="5" t="s">
        <v>505</v>
      </c>
      <c r="F11" s="12" t="s">
        <v>501</v>
      </c>
    </row>
    <row r="12" customFormat="false" ht="15" hidden="false" customHeight="false" outlineLevel="0" collapsed="false">
      <c r="A12" s="5" t="n">
        <v>8</v>
      </c>
      <c r="B12" s="5" t="s">
        <v>506</v>
      </c>
      <c r="C12" s="5" t="s">
        <v>507</v>
      </c>
      <c r="D12" s="5" t="s">
        <v>508</v>
      </c>
      <c r="E12" s="5" t="s">
        <v>509</v>
      </c>
      <c r="F12" s="12" t="s">
        <v>501</v>
      </c>
    </row>
    <row r="13" customFormat="false" ht="23.85" hidden="false" customHeight="false" outlineLevel="0" collapsed="false">
      <c r="A13" s="5" t="n">
        <v>9</v>
      </c>
      <c r="B13" s="5" t="s">
        <v>510</v>
      </c>
      <c r="C13" s="5" t="s">
        <v>511</v>
      </c>
      <c r="D13" s="5" t="s">
        <v>512</v>
      </c>
      <c r="E13" s="5" t="s">
        <v>513</v>
      </c>
      <c r="F13" s="12" t="s">
        <v>501</v>
      </c>
    </row>
    <row r="14" customFormat="false" ht="23.85" hidden="false" customHeight="false" outlineLevel="0" collapsed="false">
      <c r="A14" s="5" t="n">
        <v>10</v>
      </c>
      <c r="B14" s="5" t="s">
        <v>514</v>
      </c>
      <c r="C14" s="5" t="s">
        <v>515</v>
      </c>
      <c r="D14" s="5" t="s">
        <v>516</v>
      </c>
      <c r="E14" s="5" t="s">
        <v>487</v>
      </c>
      <c r="F14" s="12" t="s">
        <v>501</v>
      </c>
    </row>
    <row r="15" customFormat="false" ht="23.85" hidden="false" customHeight="false" outlineLevel="0" collapsed="false">
      <c r="A15" s="5" t="n">
        <v>11</v>
      </c>
      <c r="B15" s="5" t="s">
        <v>517</v>
      </c>
      <c r="C15" s="5" t="s">
        <v>518</v>
      </c>
      <c r="D15" s="5" t="s">
        <v>519</v>
      </c>
      <c r="E15" s="5" t="s">
        <v>520</v>
      </c>
      <c r="F15" s="13" t="s">
        <v>521</v>
      </c>
    </row>
    <row r="16" customFormat="false" ht="23.85" hidden="false" customHeight="false" outlineLevel="0" collapsed="false">
      <c r="A16" s="5" t="n">
        <v>12</v>
      </c>
      <c r="B16" s="5" t="s">
        <v>522</v>
      </c>
      <c r="C16" s="5" t="s">
        <v>523</v>
      </c>
      <c r="D16" s="5" t="s">
        <v>524</v>
      </c>
      <c r="E16" s="5" t="s">
        <v>525</v>
      </c>
      <c r="F16" s="12" t="s">
        <v>501</v>
      </c>
    </row>
    <row r="17" customFormat="false" ht="15" hidden="false" customHeight="false" outlineLevel="0" collapsed="false">
      <c r="A17" s="5" t="n">
        <v>13</v>
      </c>
      <c r="B17" s="5" t="s">
        <v>526</v>
      </c>
      <c r="C17" s="5" t="s">
        <v>527</v>
      </c>
      <c r="D17" s="5" t="s">
        <v>260</v>
      </c>
      <c r="E17" s="5" t="s">
        <v>528</v>
      </c>
      <c r="F17" s="12" t="s">
        <v>501</v>
      </c>
    </row>
    <row r="18" customFormat="false" ht="23.85" hidden="false" customHeight="false" outlineLevel="0" collapsed="false">
      <c r="A18" s="5" t="n">
        <v>14</v>
      </c>
      <c r="B18" s="5" t="s">
        <v>529</v>
      </c>
      <c r="C18" s="5" t="s">
        <v>530</v>
      </c>
      <c r="D18" s="5" t="s">
        <v>13</v>
      </c>
      <c r="E18" s="5" t="s">
        <v>513</v>
      </c>
      <c r="F18" s="13" t="s">
        <v>521</v>
      </c>
    </row>
    <row r="19" customFormat="false" ht="23.85" hidden="false" customHeight="false" outlineLevel="0" collapsed="false">
      <c r="A19" s="5" t="n">
        <v>15</v>
      </c>
      <c r="B19" s="5" t="s">
        <v>531</v>
      </c>
      <c r="C19" s="5" t="s">
        <v>532</v>
      </c>
      <c r="D19" s="5" t="s">
        <v>533</v>
      </c>
      <c r="E19" s="5" t="s">
        <v>513</v>
      </c>
      <c r="F19" s="13" t="s">
        <v>521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2026-09-25T18:31:59Z</dcterms:created>
  <dc:creator>openpyxl</dc:creator>
  <dc:description/>
  <dc:language>en-US</dc:language>
  <cp:lastModifiedBy/>
  <dcterms:modified xsi:type="dcterms:W3CDTF">2026-09-25T18:31:59Z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