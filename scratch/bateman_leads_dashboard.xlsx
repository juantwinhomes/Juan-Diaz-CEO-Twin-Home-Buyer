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acebook Leads" sheetId="2" state="visible" r:id="rId4"/>
    <sheet name="Google Lea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9" authorId="0">
      <text>
        <r>
          <rPr>
            <sz val="10"/>
            <rFont val="Arial"/>
            <family val="2"/>
          </rPr>
          <t xml:space="preserve">From Google Ads account screenshots (2026-07-21): Cost tile showed $14.1K for Jun 1-30, 2026 and $11.3K for Jul 1-21, 2026 (values rounded to nearest $100 as displayed in Google Ads UI). Summed as $25,400 to approximate spend over the Google Leads tab's date range (6/8-7/20/2026). Replace with an exact figure from Google Ads billing/reports if more precision is needed.</t>
        </r>
      </text>
    </comment>
  </commentList>
</comments>
</file>

<file path=xl/sharedStrings.xml><?xml version="1.0" encoding="utf-8"?>
<sst xmlns="http://schemas.openxmlformats.org/spreadsheetml/2006/main" count="483" uniqueCount="299">
  <si>
    <t xml:space="preserve">Bateman Collective / Twin Home Buyer — Lead Tracking Dashboard</t>
  </si>
  <si>
    <t xml:space="preserve">Sources: "Facebook Leads" and "Google Leads" tabs (Bateman Collective leads portal export). Built 2026-07-21.</t>
  </si>
  <si>
    <t xml:space="preserve">Overview</t>
  </si>
  <si>
    <t xml:space="preserve">Total Leads</t>
  </si>
  <si>
    <t xml:space="preserve">Junk Leads (Test Lead + Duplicate Lead)</t>
  </si>
  <si>
    <t xml:space="preserve">Actionable Leads (Total − Junk)</t>
  </si>
  <si>
    <t xml:space="preserve">Qualified Leads (Appointment + Contract)</t>
  </si>
  <si>
    <t xml:space="preserve">Qualified Rate (of Actionable Leads)</t>
  </si>
  <si>
    <t xml:space="preserve">Note: "Junk" leads (Test Lead / Duplicate Lead) are internal test entries and known duplicates from the portal; they are excluded from Actionable Leads and the Qualified Rate denominator.</t>
  </si>
  <si>
    <t xml:space="preserve">Leads by Source</t>
  </si>
  <si>
    <t xml:space="preserve">Leads by Disposition</t>
  </si>
  <si>
    <t xml:space="preserve">Source</t>
  </si>
  <si>
    <t xml:space="preserve">Count</t>
  </si>
  <si>
    <t xml:space="preserve">Disposition</t>
  </si>
  <si>
    <t xml:space="preserve">Facebook</t>
  </si>
  <si>
    <t xml:space="preserve">Qualified | Appointment</t>
  </si>
  <si>
    <t xml:space="preserve">Google</t>
  </si>
  <si>
    <t xml:space="preserve">Qualified | Contract</t>
  </si>
  <si>
    <t xml:space="preserve">Print</t>
  </si>
  <si>
    <t xml:space="preserve">Unqualified Seller | Other</t>
  </si>
  <si>
    <t xml:space="preserve">Unqualified Seller | Poor Location</t>
  </si>
  <si>
    <t xml:space="preserve">Unqualified Seller | Retail</t>
  </si>
  <si>
    <t xml:space="preserve">Unqualified Seller | Already Listed</t>
  </si>
  <si>
    <t xml:space="preserve">Non-Seller | Other</t>
  </si>
  <si>
    <t xml:space="preserve">Non-Seller | SPAM</t>
  </si>
  <si>
    <t xml:space="preserve">No Contact</t>
  </si>
  <si>
    <t xml:space="preserve">Test Lead</t>
  </si>
  <si>
    <t xml:space="preserve">Duplicate Lead</t>
  </si>
  <si>
    <t xml:space="preserve">(No Disposition Set)</t>
  </si>
  <si>
    <t xml:space="preserve">Google Ads Cost Analysis</t>
  </si>
  <si>
    <t xml:space="preserve">Google Ads Spend (this period)</t>
  </si>
  <si>
    <t xml:space="preserve">Google Leads Count</t>
  </si>
  <si>
    <t xml:space="preserve">Qualified Leads from Google</t>
  </si>
  <si>
    <t xml:space="preserve">Cost Per Lead (Google)</t>
  </si>
  <si>
    <t xml:space="preserve">Cost Per Qualified Lead (Google)</t>
  </si>
  <si>
    <t xml:space="preserve">Google Ads spend has not been provided yet — the yellow cell above defaults to $0. Enter the real spend to populate cost-per-lead figures.</t>
  </si>
  <si>
    <t xml:space="preserve">Date</t>
  </si>
  <si>
    <t xml:space="preserve">Name</t>
  </si>
  <si>
    <t xml:space="preserve">Address</t>
  </si>
  <si>
    <t xml:space="preserve">Phone Number</t>
  </si>
  <si>
    <t xml:space="preserve">Email</t>
  </si>
  <si>
    <t xml:space="preserve">Notes</t>
  </si>
  <si>
    <t xml:space="preserve">Campaign</t>
  </si>
  <si>
    <t xml:space="preserve">Tracking Link</t>
  </si>
  <si>
    <t xml:space="preserve">7/20/2026 1:06:14</t>
  </si>
  <si>
    <t xml:space="preserve">Jeffrey Bryant</t>
  </si>
  <si>
    <t xml:space="preserve">26385 Adrian Ave, Hayward, CA, USA</t>
  </si>
  <si>
    <t xml:space="preserve">9254372355</t>
  </si>
  <si>
    <t xml:space="preserve">jeffyb@comcast.net</t>
  </si>
  <si>
    <t xml:space="preserve">BOFU - Bateman</t>
  </si>
  <si>
    <t xml:space="preserve">7/17/2026 11:23:39</t>
  </si>
  <si>
    <t xml:space="preserve">Wendy Zampardi</t>
  </si>
  <si>
    <t xml:space="preserve">3119 Hillside Drive, Fortuna, CA, USA</t>
  </si>
  <si>
    <t xml:space="preserve">7077232369</t>
  </si>
  <si>
    <t xml:space="preserve">wzampardi@gmail...</t>
  </si>
  <si>
    <t xml:space="preserve">The property is a vacant la...</t>
  </si>
  <si>
    <t xml:space="preserve">7/17/2026 3:37:25</t>
  </si>
  <si>
    <t xml:space="preserve">1 Green Point Lane, Novato, CA, USA</t>
  </si>
  <si>
    <t xml:space="preserve">9162135913</t>
  </si>
  <si>
    <t xml:space="preserve">The listing agent is also the...</t>
  </si>
  <si>
    <t xml:space="preserve">7/14/2026 11:33:18</t>
  </si>
  <si>
    <t xml:space="preserve">555 W 1275 N, Lehi, UT, USA</t>
  </si>
  <si>
    <t xml:space="preserve">3852528245</t>
  </si>
  <si>
    <t xml:space="preserve">test@gmail.com</t>
  </si>
  <si>
    <t xml:space="preserve">7/13/2026 8:37:00</t>
  </si>
  <si>
    <t xml:space="preserve">SAN FRANCSCO CA</t>
  </si>
  <si>
    <t xml:space="preserve">San Francisco, CA</t>
  </si>
  <si>
    <t xml:space="preserve">4157562546</t>
  </si>
  <si>
    <t xml:space="preserve">Called the lead but he ment...</t>
  </si>
  <si>
    <t xml:space="preserve">https://app.calltrackingmet...</t>
  </si>
  <si>
    <t xml:space="preserve">7/13/2026 10:15:23</t>
  </si>
  <si>
    <t xml:space="preserve">Sacramento, CA, USA</t>
  </si>
  <si>
    <t xml:space="preserve">9162876881</t>
  </si>
  <si>
    <t xml:space="preserve">7/13/2026 10:14:35</t>
  </si>
  <si>
    <t xml:space="preserve">3726ja</t>
  </si>
  <si>
    <t xml:space="preserve">7/11/2026 8:15:30</t>
  </si>
  <si>
    <t xml:space="preserve">424 mark ave</t>
  </si>
  <si>
    <t xml:space="preserve">7736907284</t>
  </si>
  <si>
    <t xml:space="preserve">7/11/2026 2:40:00</t>
  </si>
  <si>
    <t xml:space="preserve">MODESTO CA</t>
  </si>
  <si>
    <t xml:space="preserve">Modesto, CA</t>
  </si>
  <si>
    <t xml:space="preserve">2096147838</t>
  </si>
  <si>
    <t xml:space="preserve">7/11/2026 1:52:47</t>
  </si>
  <si>
    <t xml:space="preserve">Mariarivera @$icloud</t>
  </si>
  <si>
    <t xml:space="preserve">2097719288</t>
  </si>
  <si>
    <t xml:space="preserve">7/10/2026 8:39:36</t>
  </si>
  <si>
    <t xml:space="preserve">3770 Lincoln Boulevard, Oroville, CA, USA</t>
  </si>
  <si>
    <t xml:space="preserve">5309220470</t>
  </si>
  <si>
    <t xml:space="preserve">7/20/2026 2:50:34</t>
  </si>
  <si>
    <t xml:space="preserve">Stephanie Aguilar</t>
  </si>
  <si>
    <t xml:space="preserve">1645 Concord Ave</t>
  </si>
  <si>
    <t xml:space="preserve">5593956021</t>
  </si>
  <si>
    <t xml:space="preserve">stephaniecambero...</t>
  </si>
  <si>
    <t xml:space="preserve">Not in a rush to sell, just w...</t>
  </si>
  <si>
    <t xml:space="preserve">23913739190</t>
  </si>
  <si>
    <t xml:space="preserve">7/20/2026 12:04:5</t>
  </si>
  <si>
    <t xml:space="preserve">1200 DeKalb Ave NE, Atlanta, GA, USA</t>
  </si>
  <si>
    <t xml:space="preserve">4085153786</t>
  </si>
  <si>
    <t xml:space="preserve">Out of Twin Home Buyer's...</t>
  </si>
  <si>
    <t xml:space="preserve">7/20/2026 1:34:09</t>
  </si>
  <si>
    <t xml:space="preserve">Alyssia Esquivel</t>
  </si>
  <si>
    <t xml:space="preserve">1270 South Rose</t>
  </si>
  <si>
    <t xml:space="preserve">2097185350</t>
  </si>
  <si>
    <t xml:space="preserve">alyssiaesquivel98...</t>
  </si>
  <si>
    <t xml:space="preserve">7/16/2026 10:52:19</t>
  </si>
  <si>
    <t xml:space="preserve">Chris J. Giro</t>
  </si>
  <si>
    <t xml:space="preserve">18 Hampton Rd, Occidental, CA 95465, USA</t>
  </si>
  <si>
    <t xml:space="preserve">7072929001</t>
  </si>
  <si>
    <t xml:space="preserve">sebastopolglass@...</t>
  </si>
  <si>
    <t xml:space="preserve">We passed on this lead - a...</t>
  </si>
  <si>
    <t xml:space="preserve">7/15/2026 9:46:34</t>
  </si>
  <si>
    <t xml:space="preserve">Jesse Davis</t>
  </si>
  <si>
    <t xml:space="preserve">2440 Orchard Ln, Martinez, CA, USA</t>
  </si>
  <si>
    <t xml:space="preserve">9258122778</t>
  </si>
  <si>
    <t xml:space="preserve">yozerzjessedavis...</t>
  </si>
  <si>
    <t xml:space="preserve">The property is already for...</t>
  </si>
  <si>
    <t xml:space="preserve">7/15/2026 4:16:54</t>
  </si>
  <si>
    <t xml:space="preserve">Roger William</t>
  </si>
  <si>
    <t xml:space="preserve">2318 Amboy Avenue, Stockton, CA, USA</t>
  </si>
  <si>
    <t xml:space="preserve">9255658415</t>
  </si>
  <si>
    <t xml:space="preserve">rogerwjohnson1@...</t>
  </si>
  <si>
    <t xml:space="preserve">The lead is unresponsive</t>
  </si>
  <si>
    <t xml:space="preserve">7/14/2026 1:06:17</t>
  </si>
  <si>
    <t xml:space="preserve">Leticia Araujo-Perez</t>
  </si>
  <si>
    <t xml:space="preserve">4029 Folsom Street, San Francisco, CA, USA</t>
  </si>
  <si>
    <t xml:space="preserve">5103947767</t>
  </si>
  <si>
    <t xml:space="preserve">leticiaaraujoperez...</t>
  </si>
  <si>
    <t xml:space="preserve">The lead decided to go wit...</t>
  </si>
  <si>
    <t xml:space="preserve">7/11/2026 3:45:00</t>
  </si>
  <si>
    <t xml:space="preserve">J WEGLEITNER</t>
  </si>
  <si>
    <t xml:space="preserve">Vallejo, CA</t>
  </si>
  <si>
    <t xml:space="preserve">7077126984</t>
  </si>
  <si>
    <t xml:space="preserve">Spoke to this lead/someon...</t>
  </si>
  <si>
    <t xml:space="preserve">7/11/2026 6:37:40</t>
  </si>
  <si>
    <t xml:space="preserve">309 De Anza Drive, Vallejo, CA, USA</t>
  </si>
  <si>
    <t xml:space="preserve">7076233206</t>
  </si>
  <si>
    <t xml:space="preserve">7/10/2026 9:59:00</t>
  </si>
  <si>
    <t xml:space="preserve">KEUING WALTER</t>
  </si>
  <si>
    <t xml:space="preserve">Oakland:Fruitvale Da, CA</t>
  </si>
  <si>
    <t xml:space="preserve">5104852812</t>
  </si>
  <si>
    <t xml:space="preserve">The lead is asking if we bu...</t>
  </si>
  <si>
    <t xml:space="preserve">7/8/2026 6:58:29</t>
  </si>
  <si>
    <t xml:space="preserve">Baljit Singh</t>
  </si>
  <si>
    <t xml:space="preserve">867 Osprey Drive, Lathrop, CA, USA</t>
  </si>
  <si>
    <t xml:space="preserve">9255010086</t>
  </si>
  <si>
    <t xml:space="preserve">singhbaljit01@iclo...</t>
  </si>
  <si>
    <t xml:space="preserve">We passed on this lead</t>
  </si>
  <si>
    <t xml:space="preserve">7/7/2026 5:13:41 PM</t>
  </si>
  <si>
    <t xml:space="preserve">MK Ding</t>
  </si>
  <si>
    <t xml:space="preserve">1549 5th Avenue, Oakland, CA</t>
  </si>
  <si>
    <t xml:space="preserve">6508420448</t>
  </si>
  <si>
    <t xml:space="preserve">mkding71@gmail.c...</t>
  </si>
  <si>
    <t xml:space="preserve">Appointmnet completed - w...</t>
  </si>
  <si>
    <t xml:space="preserve">7/6/2026 7:54:57</t>
  </si>
  <si>
    <t xml:space="preserve">1070 Bare Oak Ave</t>
  </si>
  <si>
    <t xml:space="preserve">5593602132</t>
  </si>
  <si>
    <t xml:space="preserve">7/6/2026 2:05:23</t>
  </si>
  <si>
    <t xml:space="preserve">Tony Bal</t>
  </si>
  <si>
    <t xml:space="preserve">12 E St, Empire, CA, USA</t>
  </si>
  <si>
    <t xml:space="preserve">2093805564</t>
  </si>
  <si>
    <t xml:space="preserve">devraz_78@yahoo...</t>
  </si>
  <si>
    <t xml:space="preserve">7/4/2026 11:31:22</t>
  </si>
  <si>
    <t xml:space="preserve">Edward Ceja</t>
  </si>
  <si>
    <t xml:space="preserve">615 4th Court, Mendota, CA, USA</t>
  </si>
  <si>
    <t xml:space="preserve">5593887135</t>
  </si>
  <si>
    <t xml:space="preserve">anthony4990m@g...</t>
  </si>
  <si>
    <t xml:space="preserve">The lead became unrespon...</t>
  </si>
  <si>
    <t xml:space="preserve">7/3/2026 1:46:59</t>
  </si>
  <si>
    <t xml:space="preserve">Daniel Gamblin Jordan</t>
  </si>
  <si>
    <t xml:space="preserve">645 Russell St, Vallejo, CA, USA</t>
  </si>
  <si>
    <t xml:space="preserve">7075340307</t>
  </si>
  <si>
    <t xml:space="preserve">danieljordan2332...</t>
  </si>
  <si>
    <t xml:space="preserve">Daniel Gamblin Jordan - 6...</t>
  </si>
  <si>
    <t xml:space="preserve">6/30/2026 4:30:2</t>
  </si>
  <si>
    <t xml:space="preserve">2328 Lafayette Drive, Antioch, CA, USA</t>
  </si>
  <si>
    <t xml:space="preserve">9255868512</t>
  </si>
  <si>
    <t xml:space="preserve">6/28/2026 7:47:29</t>
  </si>
  <si>
    <t xml:space="preserve">Robert Gunn</t>
  </si>
  <si>
    <t xml:space="preserve">3375 17th Street, Apt 311 San Francisco, CA</t>
  </si>
  <si>
    <t xml:space="preserve">4157941602</t>
  </si>
  <si>
    <t xml:space="preserve">gunncomm@com...</t>
  </si>
  <si>
    <t xml:space="preserve">Contract already sent - wai...</t>
  </si>
  <si>
    <t xml:space="preserve">6/27/2026 2:51:25</t>
  </si>
  <si>
    <t xml:space="preserve">Rosendo Mercado</t>
  </si>
  <si>
    <t xml:space="preserve">5602 Walerga Road, Sacramento, CA, USA</t>
  </si>
  <si>
    <t xml:space="preserve">9168212648</t>
  </si>
  <si>
    <t xml:space="preserve">mercadoross@ya...</t>
  </si>
  <si>
    <t xml:space="preserve">Lead says that someone fill...</t>
  </si>
  <si>
    <t xml:space="preserve">6/24/2026 4:53:57</t>
  </si>
  <si>
    <t xml:space="preserve">Maria Lemons</t>
  </si>
  <si>
    <t xml:space="preserve">955 W Clubhouse Dr, Prescott, AZ, USA</t>
  </si>
  <si>
    <t xml:space="preserve">9283087823</t>
  </si>
  <si>
    <t xml:space="preserve">alize9lemons@gm...</t>
  </si>
  <si>
    <t xml:space="preserve">6/24/2026 4:15:20</t>
  </si>
  <si>
    <t xml:space="preserve">1904 Everest Place, Tracy, CA, USA</t>
  </si>
  <si>
    <t xml:space="preserve">4089871053</t>
  </si>
  <si>
    <t xml:space="preserve">6/23/2026 9:21:51</t>
  </si>
  <si>
    <t xml:space="preserve">5053 Veranda Terrace, Davis, CA, USA</t>
  </si>
  <si>
    <t xml:space="preserve">7076850229</t>
  </si>
  <si>
    <t xml:space="preserve">Lead mentioned that he wa...</t>
  </si>
  <si>
    <t xml:space="preserve">6/22/2026 11:21:42</t>
  </si>
  <si>
    <t xml:space="preserve">Martha Reece</t>
  </si>
  <si>
    <t xml:space="preserve">5475 East Illinois Avenue, Fresno, CA, USA</t>
  </si>
  <si>
    <t xml:space="preserve">5599388160</t>
  </si>
  <si>
    <t xml:space="preserve">greeg1035@gmail...</t>
  </si>
  <si>
    <t xml:space="preserve">The lead already signed th...</t>
  </si>
  <si>
    <t xml:space="preserve">6/22/2026 1:09:55</t>
  </si>
  <si>
    <t xml:space="preserve">Kashov Sharma</t>
  </si>
  <si>
    <t xml:space="preserve">1000 W 26th St unit 213, Austin, TX, USA</t>
  </si>
  <si>
    <t xml:space="preserve">8318692049</t>
  </si>
  <si>
    <t xml:space="preserve">pratibh55@gmail.com</t>
  </si>
  <si>
    <t xml:space="preserve">Lead submitted a PPC form...</t>
  </si>
  <si>
    <t xml:space="preserve">6/20/2026 7:10:54</t>
  </si>
  <si>
    <t xml:space="preserve">Oscar Cantu</t>
  </si>
  <si>
    <t xml:space="preserve">9 West Yorkshire Drive, Stockton, CA, USA</t>
  </si>
  <si>
    <t xml:space="preserve">2094566874</t>
  </si>
  <si>
    <t xml:space="preserve">oscarcantu06@m...</t>
  </si>
  <si>
    <t xml:space="preserve">For property visit on June...</t>
  </si>
  <si>
    <t xml:space="preserve">6/19/2026 11:52:12</t>
  </si>
  <si>
    <t xml:space="preserve">Thomas Burke</t>
  </si>
  <si>
    <t xml:space="preserve">191 Orange St, Kingsburg, CA, USA</t>
  </si>
  <si>
    <t xml:space="preserve">5598451968</t>
  </si>
  <si>
    <t xml:space="preserve">dairychemworkz@...</t>
  </si>
  <si>
    <t xml:space="preserve">6/16/2026 5:19:40</t>
  </si>
  <si>
    <t xml:space="preserve">Jaimin Patel</t>
  </si>
  <si>
    <t xml:space="preserve">104 Woodbridge Cir, San Mateo, CA, USA</t>
  </si>
  <si>
    <t xml:space="preserve">4152861222</t>
  </si>
  <si>
    <t xml:space="preserve">tgovind@excite.com</t>
  </si>
  <si>
    <t xml:space="preserve">Called the lead and said th...</t>
  </si>
  <si>
    <t xml:space="preserve">6/15/2026 10:39:0</t>
  </si>
  <si>
    <t xml:space="preserve">MARCHETTI SEBAS</t>
  </si>
  <si>
    <t xml:space="preserve">San Mateo, CA</t>
  </si>
  <si>
    <t xml:space="preserve">6505200300</t>
  </si>
  <si>
    <t xml:space="preserve">google</t>
  </si>
  <si>
    <t xml:space="preserve">6/15/2026 11:38:00</t>
  </si>
  <si>
    <t xml:space="preserve">WIRELESS CALLER</t>
  </si>
  <si>
    <t xml:space="preserve">Los Altos, CA</t>
  </si>
  <si>
    <t xml:space="preserve">6505189183</t>
  </si>
  <si>
    <t xml:space="preserve">Seller wants to sell but decl...</t>
  </si>
  <si>
    <t xml:space="preserve">6/14/2026 3:49:36</t>
  </si>
  <si>
    <t xml:space="preserve">Jhanel Kies</t>
  </si>
  <si>
    <t xml:space="preserve">2454 Vista Grande, Fairfield, CA, USA</t>
  </si>
  <si>
    <t xml:space="preserve">C1011w@yahoo.com</t>
  </si>
  <si>
    <t xml:space="preserve">6/13/2026 12:17:08</t>
  </si>
  <si>
    <t xml:space="preserve">8926 Mountain Home Court, Elk Grove, CA</t>
  </si>
  <si>
    <t xml:space="preserve">2092773700</t>
  </si>
  <si>
    <t xml:space="preserve">Lead is not the property ow...</t>
  </si>
  <si>
    <t xml:space="preserve">6/13/2026 10:13:4</t>
  </si>
  <si>
    <t xml:space="preserve">Gurjit Chahal</t>
  </si>
  <si>
    <t xml:space="preserve">15055 Hollyock Ct, Lathrop, CA, USA</t>
  </si>
  <si>
    <t xml:space="preserve">2094823376</t>
  </si>
  <si>
    <t xml:space="preserve">gurjit.chahal95@o...</t>
  </si>
  <si>
    <t xml:space="preserve">we are passing low equity</t>
  </si>
  <si>
    <t xml:space="preserve">6/11/2026 2:44:12</t>
  </si>
  <si>
    <t xml:space="preserve">Name Test</t>
  </si>
  <si>
    <t xml:space="preserve">4545 E Golden Autumn Vw, Eagle Mountain</t>
  </si>
  <si>
    <t xml:space="preserve">4545454545</t>
  </si>
  <si>
    <t xml:space="preserve">Test@gmail.com</t>
  </si>
  <si>
    <t xml:space="preserve">6/11/2026 2:33:59</t>
  </si>
  <si>
    <t xml:space="preserve">Test Lead Only Test</t>
  </si>
  <si>
    <t xml:space="preserve">170 Glen Way, Atlanta, GA, USA</t>
  </si>
  <si>
    <t xml:space="preserve">5103945339</t>
  </si>
  <si>
    <t xml:space="preserve">test@leadgmail.com</t>
  </si>
  <si>
    <t xml:space="preserve">6/11/2026 2:13:00</t>
  </si>
  <si>
    <t xml:space="preserve">OAKLAND CA</t>
  </si>
  <si>
    <t xml:space="preserve">Oakland:Trinidad Da, CA</t>
  </si>
  <si>
    <t xml:space="preserve">6/11/2026 2:05:50</t>
  </si>
  <si>
    <t xml:space="preserve">Juan Diaz</t>
  </si>
  <si>
    <t xml:space="preserve">100 Palm Avenue, San Carlos, CA, USA</t>
  </si>
  <si>
    <t xml:space="preserve">5108001662</t>
  </si>
  <si>
    <t xml:space="preserve">bryan@twinhome...</t>
  </si>
  <si>
    <t xml:space="preserve">Existing lead - May 03, 2024</t>
  </si>
  <si>
    <t xml:space="preserve">6/11/2026 1:17:20</t>
  </si>
  <si>
    <t xml:space="preserve">4917 N Holt Ave apt 103, Fresno CA 93705</t>
  </si>
  <si>
    <t xml:space="preserve">5593497823</t>
  </si>
  <si>
    <t xml:space="preserve">This seller is offering his ne...</t>
  </si>
  <si>
    <t xml:space="preserve">6/9/2026 4:45:00</t>
  </si>
  <si>
    <t xml:space="preserve">Clovis, CA</t>
  </si>
  <si>
    <t xml:space="preserve">5597671593</t>
  </si>
  <si>
    <t xml:space="preserve">6/9/2026 3:11:41 PM</t>
  </si>
  <si>
    <t xml:space="preserve">777 W 2260 N, Lehi, UT</t>
  </si>
  <si>
    <t xml:space="preserve">7777777777</t>
  </si>
  <si>
    <t xml:space="preserve">6/9/2026 2:24:11 PM</t>
  </si>
  <si>
    <t xml:space="preserve">555 East 3375 North, Lehi, UT</t>
  </si>
  <si>
    <t xml:space="preserve">5555555555</t>
  </si>
  <si>
    <t xml:space="preserve">6/9/2026 12:25:29</t>
  </si>
  <si>
    <t xml:space="preserve">711 Saddlehorn Drive, Centerton, AR, USA</t>
  </si>
  <si>
    <t xml:space="preserve">3147360371</t>
  </si>
  <si>
    <t xml:space="preserve">6/8/2026 7:45:33</t>
  </si>
  <si>
    <t xml:space="preserve">juan@twinhomebu...</t>
  </si>
  <si>
    <t xml:space="preserve">6/8/2026 6:19:35</t>
  </si>
  <si>
    <t xml:space="preserve">Marta Acosta</t>
  </si>
  <si>
    <t xml:space="preserve">1719 Richard Way, Ceres, CA, USA</t>
  </si>
  <si>
    <t xml:space="preserve">2094991377</t>
  </si>
  <si>
    <t xml:space="preserve">acostaam03@gm...</t>
  </si>
  <si>
    <t xml:space="preserve">6/8/2026 10:55:00</t>
  </si>
  <si>
    <t xml:space="preserve">555 Test Lead, Lehi, UT</t>
  </si>
  <si>
    <t xml:space="preserve">8015555555</t>
  </si>
  <si>
    <t xml:space="preserve">testlead@batema...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</si>
</sst>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Dashboard!$A$14:$A$16</c:f>
              <c:strCache>
                <c:ptCount val="3"/>
                <c:pt idx="0">
                  <c:v>Facebook</c:v>
                </c:pt>
                <c:pt idx="1">
                  <c:v>Google</c:v>
                </c:pt>
                <c:pt idx="2">
                  <c:v>Print</c:v>
                </c:pt>
              </c:strCache>
            </c:str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11</c:v>
                </c:pt>
                <c:pt idx="1">
                  <c:v>42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73753342"/>
        <c:axId val="61004790"/>
      </c:barChart>
      <c:catAx>
        <c:axId val="73753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04790"/>
        <c:crosses val="autoZero"/>
        <c:auto val="1"/>
        <c:lblAlgn val="ctr"/>
        <c:lblOffset val="100"/>
        <c:noMultiLvlLbl val="0"/>
      </c:catAx>
      <c:valAx>
        <c:axId val="61004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53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Disposition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Dashboard!$D$14:$D$25</c:f>
              <c:strCache>
                <c:ptCount val="12"/>
                <c:pt idx="0">
                  <c:v>Qualified | Appointment</c:v>
                </c:pt>
                <c:pt idx="1">
                  <c:v>Qualified | Contract</c:v>
                </c:pt>
                <c:pt idx="2">
                  <c:v>Unqualified Seller | Other</c:v>
                </c:pt>
                <c:pt idx="3">
                  <c:v>Unqualified Seller | Poor Location</c:v>
                </c:pt>
                <c:pt idx="4">
                  <c:v>Unqualified Seller | Retail</c:v>
                </c:pt>
                <c:pt idx="5">
                  <c:v>Unqualified Seller | Already Listed</c:v>
                </c:pt>
                <c:pt idx="6">
                  <c:v>Non-Seller | Other</c:v>
                </c:pt>
                <c:pt idx="7">
                  <c:v>Non-Seller | SPAM</c:v>
                </c:pt>
                <c:pt idx="8">
                  <c:v>No Contact</c:v>
                </c:pt>
                <c:pt idx="9">
                  <c:v>Test Lead</c:v>
                </c:pt>
                <c:pt idx="10">
                  <c:v>Duplicate Lead</c:v>
                </c:pt>
                <c:pt idx="11">
                  <c:v>(No Disposition Set)</c:v>
                </c:pt>
              </c:strCache>
            </c:strRef>
          </c:cat>
          <c:val>
            <c:numRef>
              <c:f>Dashboard!$E$14:$E$25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8</c:v>
                </c:pt>
                <c:pt idx="7">
                  <c:v>4</c:v>
                </c:pt>
                <c:pt idx="8">
                  <c:v>13</c:v>
                </c:pt>
                <c:pt idx="9">
                  <c:v>8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</c:ser>
        <c:gapWidth val="150"/>
        <c:overlap val="0"/>
        <c:axId val="79157250"/>
        <c:axId val="78295000"/>
      </c:barChart>
      <c:catAx>
        <c:axId val="79157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295000"/>
        <c:crosses val="autoZero"/>
        <c:auto val="1"/>
        <c:lblAlgn val="ctr"/>
        <c:lblOffset val="100"/>
        <c:noMultiLvlLbl val="0"/>
      </c:catAx>
      <c:valAx>
        <c:axId val="78295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157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130680</xdr:rowOff>
    </xdr:from>
    <xdr:to>
      <xdr:col>3</xdr:col>
      <xdr:colOff>416520</xdr:colOff>
      <xdr:row>48</xdr:row>
      <xdr:rowOff>173520</xdr:rowOff>
    </xdr:to>
    <xdr:graphicFrame>
      <xdr:nvGraphicFramePr>
        <xdr:cNvPr id="0" name="Chart 1"/>
        <xdr:cNvGraphicFramePr/>
      </xdr:nvGraphicFramePr>
      <xdr:xfrm>
        <a:off x="0" y="6855480"/>
        <a:ext cx="503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35</xdr:row>
      <xdr:rowOff>130680</xdr:rowOff>
    </xdr:from>
    <xdr:to>
      <xdr:col>12</xdr:col>
      <xdr:colOff>243360</xdr:colOff>
      <xdr:row>48</xdr:row>
      <xdr:rowOff>173520</xdr:rowOff>
    </xdr:to>
    <xdr:graphicFrame>
      <xdr:nvGraphicFramePr>
        <xdr:cNvPr id="1" name="Chart 2"/>
        <xdr:cNvGraphicFramePr/>
      </xdr:nvGraphicFramePr>
      <xdr:xfrm>
        <a:off x="7467480" y="6855480"/>
        <a:ext cx="647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32"/>
    <col collapsed="false" customWidth="true" hidden="false" outlineLevel="0" max="5" min="5" style="1" width="12"/>
    <col collapsed="false" customWidth="true" hidden="false" outlineLevel="0" max="6" min="6" style="1" width="4"/>
    <col collapsed="false" customWidth="true" hidden="false" outlineLevel="0" max="8" min="7" style="1" width="1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f aca="false">COUNTA('Facebook Leads'!$A$2:$A$12)+COUNTA('Google Leads'!$A$2:$A$45)</f>
        <v>55</v>
      </c>
    </row>
    <row r="6" customFormat="false" ht="15" hidden="false" customHeight="true" outlineLevel="0" collapsed="false">
      <c r="A6" s="5" t="s">
        <v>4</v>
      </c>
      <c r="B6" s="6" t="n">
        <f aca="false">COUNTIF('Facebook Leads'!$F$2:$F$12,"Test Lead")+COUNTIF('Google Leads'!$F$2:$F$45,"Test Lead")+COUNTIF('Facebook Leads'!$F$2:$F$12,"Duplicate Lead")+COUNTIF('Google Leads'!$F$2:$F$45,"Duplicate Lead")</f>
        <v>9</v>
      </c>
    </row>
    <row r="7" customFormat="false" ht="15" hidden="false" customHeight="true" outlineLevel="0" collapsed="false">
      <c r="A7" s="5" t="s">
        <v>5</v>
      </c>
      <c r="B7" s="6" t="n">
        <f aca="false">B5-B6</f>
        <v>46</v>
      </c>
    </row>
    <row r="8" customFormat="false" ht="15" hidden="false" customHeight="true" outlineLevel="0" collapsed="false">
      <c r="A8" s="5" t="s">
        <v>6</v>
      </c>
      <c r="B8" s="6" t="n">
        <f aca="false">COUNTIF('Facebook Leads'!$F$2:$F$12,"Qualified | Appointment")+COUNTIF('Google Leads'!$F$2:$F$45,"Qualified | Appointment")+COUNTIF('Facebook Leads'!$F$2:$F$12,"Qualified | Contract")+COUNTIF('Google Leads'!$F$2:$F$45,"Qualified | Contract")</f>
        <v>3</v>
      </c>
    </row>
    <row r="9" customFormat="false" ht="15" hidden="false" customHeight="true" outlineLevel="0" collapsed="false">
      <c r="A9" s="5" t="s">
        <v>7</v>
      </c>
      <c r="B9" s="7" t="n">
        <f aca="false">IFERROR(B8/B7,0)</f>
        <v>0.0652173913043478</v>
      </c>
    </row>
    <row r="10" customFormat="false" ht="15" hidden="false" customHeight="true" outlineLevel="0" collapsed="false">
      <c r="A10" s="8" t="s">
        <v>8</v>
      </c>
      <c r="B10" s="8"/>
      <c r="C10" s="8"/>
      <c r="D10" s="8"/>
      <c r="E10" s="8"/>
      <c r="F10" s="8"/>
      <c r="G10" s="8"/>
      <c r="H10" s="8"/>
    </row>
    <row r="12" customFormat="false" ht="15" hidden="false" customHeight="true" outlineLevel="0" collapsed="false">
      <c r="A12" s="4" t="s">
        <v>9</v>
      </c>
      <c r="D12" s="4" t="s">
        <v>10</v>
      </c>
    </row>
    <row r="13" customFormat="false" ht="15" hidden="false" customHeight="true" outlineLevel="0" collapsed="false">
      <c r="A13" s="9" t="s">
        <v>11</v>
      </c>
      <c r="B13" s="9" t="s">
        <v>12</v>
      </c>
      <c r="D13" s="9" t="s">
        <v>13</v>
      </c>
      <c r="E13" s="9" t="s">
        <v>12</v>
      </c>
    </row>
    <row r="14" customFormat="false" ht="15" hidden="false" customHeight="true" outlineLevel="0" collapsed="false">
      <c r="A14" s="6" t="s">
        <v>14</v>
      </c>
      <c r="B14" s="6" t="n">
        <f aca="false">COUNTIF('Facebook Leads'!$H$2:$H$12,"Facebook")+COUNTIF('Google Leads'!$H$2:$H$45,"Facebook")</f>
        <v>11</v>
      </c>
      <c r="D14" s="6" t="s">
        <v>15</v>
      </c>
      <c r="E14" s="6" t="n">
        <f aca="false">COUNTIF('Facebook Leads'!$F$2:$F$12,"Qualified | Appointment")+COUNTIF('Google Leads'!$F$2:$F$45,"Qualified | Appointment")</f>
        <v>1</v>
      </c>
    </row>
    <row r="15" customFormat="false" ht="15" hidden="false" customHeight="true" outlineLevel="0" collapsed="false">
      <c r="A15" s="6" t="s">
        <v>16</v>
      </c>
      <c r="B15" s="6" t="n">
        <f aca="false">COUNTIF('Facebook Leads'!$H$2:$H$12,"Google")+COUNTIF('Google Leads'!$H$2:$H$45,"Google")</f>
        <v>42</v>
      </c>
      <c r="D15" s="6" t="s">
        <v>17</v>
      </c>
      <c r="E15" s="6" t="n">
        <f aca="false">COUNTIF('Facebook Leads'!$F$2:$F$12,"Qualified | Contract")+COUNTIF('Google Leads'!$F$2:$F$45,"Qualified | Contract")</f>
        <v>2</v>
      </c>
    </row>
    <row r="16" customFormat="false" ht="15" hidden="false" customHeight="true" outlineLevel="0" collapsed="false">
      <c r="A16" s="6" t="s">
        <v>18</v>
      </c>
      <c r="B16" s="6" t="n">
        <f aca="false">COUNTIF('Facebook Leads'!$H$2:$H$12,"Print")+COUNTIF('Google Leads'!$H$2:$H$45,"Print")</f>
        <v>2</v>
      </c>
      <c r="D16" s="6" t="s">
        <v>19</v>
      </c>
      <c r="E16" s="6" t="n">
        <f aca="false">COUNTIF('Facebook Leads'!$F$2:$F$12,"Unqualified Seller | Other")+COUNTIF('Google Leads'!$F$2:$F$45,"Unqualified Seller | Other")</f>
        <v>6</v>
      </c>
    </row>
    <row r="17" customFormat="false" ht="15" hidden="false" customHeight="true" outlineLevel="0" collapsed="false">
      <c r="D17" s="6" t="s">
        <v>20</v>
      </c>
      <c r="E17" s="6" t="n">
        <f aca="false">COUNTIF('Facebook Leads'!$F$2:$F$12,"Unqualified Seller | Poor Location")+COUNTIF('Google Leads'!$F$2:$F$45,"Unqualified Seller | Poor Location")</f>
        <v>5</v>
      </c>
    </row>
    <row r="18" customFormat="false" ht="15" hidden="false" customHeight="true" outlineLevel="0" collapsed="false">
      <c r="D18" s="6" t="s">
        <v>21</v>
      </c>
      <c r="E18" s="6" t="n">
        <f aca="false">COUNTIF('Facebook Leads'!$F$2:$F$12,"Unqualified Seller | Retail")+COUNTIF('Google Leads'!$F$2:$F$45,"Unqualified Seller | Retail")</f>
        <v>4</v>
      </c>
    </row>
    <row r="19" customFormat="false" ht="15" hidden="false" customHeight="true" outlineLevel="0" collapsed="false">
      <c r="D19" s="6" t="s">
        <v>22</v>
      </c>
      <c r="E19" s="6" t="n">
        <f aca="false">COUNTIF('Facebook Leads'!$F$2:$F$12,"Unqualified Seller | Already Listed")+COUNTIF('Google Leads'!$F$2:$F$45,"Unqualified Seller | Already Listed")</f>
        <v>1</v>
      </c>
    </row>
    <row r="20" customFormat="false" ht="15" hidden="false" customHeight="true" outlineLevel="0" collapsed="false">
      <c r="D20" s="6" t="s">
        <v>23</v>
      </c>
      <c r="E20" s="6" t="n">
        <f aca="false">COUNTIF('Facebook Leads'!$F$2:$F$12,"Non-Seller | Other")+COUNTIF('Google Leads'!$F$2:$F$45,"Non-Seller | Other")</f>
        <v>8</v>
      </c>
    </row>
    <row r="21" customFormat="false" ht="15" hidden="false" customHeight="true" outlineLevel="0" collapsed="false">
      <c r="D21" s="6" t="s">
        <v>24</v>
      </c>
      <c r="E21" s="6" t="n">
        <f aca="false">COUNTIF('Facebook Leads'!$F$2:$F$12,"Non-Seller | SPAM")+COUNTIF('Google Leads'!$F$2:$F$45,"Non-Seller | SPAM")</f>
        <v>4</v>
      </c>
    </row>
    <row r="22" customFormat="false" ht="15" hidden="false" customHeight="true" outlineLevel="0" collapsed="false">
      <c r="D22" s="6" t="s">
        <v>25</v>
      </c>
      <c r="E22" s="6" t="n">
        <f aca="false">COUNTIF('Facebook Leads'!$F$2:$F$12,"No Contact")+COUNTIF('Google Leads'!$F$2:$F$45,"No Contact")</f>
        <v>13</v>
      </c>
    </row>
    <row r="23" customFormat="false" ht="15" hidden="false" customHeight="true" outlineLevel="0" collapsed="false">
      <c r="D23" s="6" t="s">
        <v>26</v>
      </c>
      <c r="E23" s="6" t="n">
        <f aca="false">COUNTIF('Facebook Leads'!$F$2:$F$12,"Test Lead")+COUNTIF('Google Leads'!$F$2:$F$45,"Test Lead")</f>
        <v>8</v>
      </c>
    </row>
    <row r="24" customFormat="false" ht="15" hidden="false" customHeight="true" outlineLevel="0" collapsed="false">
      <c r="D24" s="6" t="s">
        <v>27</v>
      </c>
      <c r="E24" s="6" t="n">
        <f aca="false">COUNTIF('Facebook Leads'!$F$2:$F$12,"Duplicate Lead")+COUNTIF('Google Leads'!$F$2:$F$45,"Duplicate Lead")</f>
        <v>1</v>
      </c>
    </row>
    <row r="25" customFormat="false" ht="15" hidden="false" customHeight="true" outlineLevel="0" collapsed="false">
      <c r="D25" s="6" t="s">
        <v>28</v>
      </c>
      <c r="E25" s="6" t="n">
        <f aca="false">COUNTBLANK('Facebook Leads'!$F$2:$F$12)+COUNTBLANK('Google Leads'!$F$2:$F$45)</f>
        <v>2</v>
      </c>
    </row>
    <row r="28" customFormat="false" ht="15" hidden="false" customHeight="true" outlineLevel="0" collapsed="false">
      <c r="A28" s="4" t="s">
        <v>29</v>
      </c>
    </row>
    <row r="29" customFormat="false" ht="15" hidden="false" customHeight="true" outlineLevel="0" collapsed="false">
      <c r="A29" s="5" t="s">
        <v>30</v>
      </c>
      <c r="B29" s="10" t="n">
        <v>25400</v>
      </c>
    </row>
    <row r="30" customFormat="false" ht="15" hidden="false" customHeight="true" outlineLevel="0" collapsed="false">
      <c r="A30" s="5" t="s">
        <v>31</v>
      </c>
      <c r="B30" s="6" t="n">
        <f aca="false">$B$15</f>
        <v>42</v>
      </c>
    </row>
    <row r="31" customFormat="false" ht="15" hidden="false" customHeight="true" outlineLevel="0" collapsed="false">
      <c r="A31" s="5" t="s">
        <v>32</v>
      </c>
      <c r="B31" s="6" t="n">
        <f aca="false">COUNTIF('Google Leads'!$F$2:$F$45,"Qualified | Appointment")+COUNTIF('Google Leads'!$F$2:$F$45,"Qualified | Contract")</f>
        <v>3</v>
      </c>
    </row>
    <row r="32" customFormat="false" ht="15" hidden="false" customHeight="true" outlineLevel="0" collapsed="false">
      <c r="A32" s="5" t="s">
        <v>33</v>
      </c>
      <c r="B32" s="11" t="n">
        <f aca="false">IFERROR($B$29/B30,0)</f>
        <v>604.761904761905</v>
      </c>
    </row>
    <row r="33" customFormat="false" ht="15" hidden="false" customHeight="true" outlineLevel="0" collapsed="false">
      <c r="A33" s="5" t="s">
        <v>34</v>
      </c>
      <c r="B33" s="11" t="n">
        <f aca="false">IFERROR($B$29/B31,0)</f>
        <v>8466.66666666667</v>
      </c>
    </row>
    <row r="35" customFormat="false" ht="15" hidden="false" customHeight="true" outlineLevel="0" collapsed="false">
      <c r="A35" s="8" t="s">
        <v>35</v>
      </c>
      <c r="B35" s="8"/>
      <c r="C35" s="8"/>
      <c r="D35" s="8"/>
      <c r="E35" s="8"/>
      <c r="F35" s="8"/>
      <c r="G35" s="8"/>
      <c r="H35" s="8"/>
    </row>
  </sheetData>
  <mergeCells count="4">
    <mergeCell ref="A1:H1"/>
    <mergeCell ref="A2:H2"/>
    <mergeCell ref="A10:H10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26"/>
  </cols>
  <sheetData>
    <row r="1" customFormat="false" ht="15" hidden="false" customHeight="true" outlineLevel="0" collapsed="false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13</v>
      </c>
      <c r="G1" s="12" t="s">
        <v>41</v>
      </c>
      <c r="H1" s="12" t="s">
        <v>11</v>
      </c>
      <c r="I1" s="12" t="s">
        <v>42</v>
      </c>
      <c r="J1" s="12" t="s">
        <v>43</v>
      </c>
    </row>
    <row r="2" customFormat="false" ht="15" hidden="false" customHeight="true" outlineLevel="0" collapsed="false">
      <c r="A2" s="13" t="s">
        <v>44</v>
      </c>
      <c r="B2" s="13" t="s">
        <v>45</v>
      </c>
      <c r="C2" s="13" t="s">
        <v>46</v>
      </c>
      <c r="D2" s="13" t="s">
        <v>47</v>
      </c>
      <c r="E2" s="13" t="s">
        <v>48</v>
      </c>
      <c r="F2" s="13"/>
      <c r="G2" s="13"/>
      <c r="H2" s="13" t="s">
        <v>14</v>
      </c>
      <c r="I2" s="13" t="s">
        <v>49</v>
      </c>
      <c r="J2" s="13"/>
    </row>
    <row r="3" customFormat="false" ht="15" hidden="false" customHeight="true" outlineLevel="0" collapsed="false">
      <c r="A3" s="13" t="s">
        <v>50</v>
      </c>
      <c r="B3" s="13" t="s">
        <v>51</v>
      </c>
      <c r="C3" s="13" t="s">
        <v>52</v>
      </c>
      <c r="D3" s="13" t="s">
        <v>53</v>
      </c>
      <c r="E3" s="13" t="s">
        <v>54</v>
      </c>
      <c r="F3" s="13" t="s">
        <v>23</v>
      </c>
      <c r="G3" s="13" t="s">
        <v>55</v>
      </c>
      <c r="H3" s="13" t="s">
        <v>14</v>
      </c>
      <c r="I3" s="13" t="s">
        <v>49</v>
      </c>
      <c r="J3" s="13"/>
    </row>
    <row r="4" customFormat="false" ht="15" hidden="false" customHeight="true" outlineLevel="0" collapsed="false">
      <c r="A4" s="13" t="s">
        <v>56</v>
      </c>
      <c r="B4" s="13"/>
      <c r="C4" s="13" t="s">
        <v>57</v>
      </c>
      <c r="D4" s="13" t="s">
        <v>58</v>
      </c>
      <c r="E4" s="13"/>
      <c r="F4" s="13" t="s">
        <v>22</v>
      </c>
      <c r="G4" s="13" t="s">
        <v>59</v>
      </c>
      <c r="H4" s="13" t="s">
        <v>14</v>
      </c>
      <c r="I4" s="13" t="s">
        <v>49</v>
      </c>
      <c r="J4" s="13"/>
    </row>
    <row r="5" customFormat="false" ht="15" hidden="false" customHeight="true" outlineLevel="0" collapsed="false">
      <c r="A5" s="13" t="s">
        <v>60</v>
      </c>
      <c r="B5" s="13" t="s">
        <v>26</v>
      </c>
      <c r="C5" s="13" t="s">
        <v>61</v>
      </c>
      <c r="D5" s="13" t="s">
        <v>62</v>
      </c>
      <c r="E5" s="13" t="s">
        <v>63</v>
      </c>
      <c r="F5" s="13" t="s">
        <v>26</v>
      </c>
      <c r="G5" s="13"/>
      <c r="H5" s="13" t="s">
        <v>14</v>
      </c>
      <c r="I5" s="13"/>
      <c r="J5" s="13"/>
    </row>
    <row r="6" customFormat="false" ht="15" hidden="false" customHeight="true" outlineLevel="0" collapsed="false">
      <c r="A6" s="13" t="s">
        <v>64</v>
      </c>
      <c r="B6" s="13" t="s">
        <v>65</v>
      </c>
      <c r="C6" s="13" t="s">
        <v>66</v>
      </c>
      <c r="D6" s="13" t="s">
        <v>67</v>
      </c>
      <c r="E6" s="13"/>
      <c r="F6" s="13" t="s">
        <v>25</v>
      </c>
      <c r="G6" s="13" t="s">
        <v>68</v>
      </c>
      <c r="H6" s="13" t="s">
        <v>14</v>
      </c>
      <c r="I6" s="13" t="s">
        <v>49</v>
      </c>
      <c r="J6" s="13" t="s">
        <v>69</v>
      </c>
    </row>
    <row r="7" customFormat="false" ht="15" hidden="false" customHeight="true" outlineLevel="0" collapsed="false">
      <c r="A7" s="13" t="s">
        <v>70</v>
      </c>
      <c r="B7" s="13"/>
      <c r="C7" s="13" t="s">
        <v>71</v>
      </c>
      <c r="D7" s="13" t="s">
        <v>72</v>
      </c>
      <c r="E7" s="13"/>
      <c r="F7" s="13" t="s">
        <v>25</v>
      </c>
      <c r="G7" s="13"/>
      <c r="H7" s="13" t="s">
        <v>14</v>
      </c>
      <c r="I7" s="13" t="s">
        <v>49</v>
      </c>
      <c r="J7" s="13"/>
    </row>
    <row r="8" customFormat="false" ht="15" hidden="false" customHeight="true" outlineLevel="0" collapsed="false">
      <c r="A8" s="13" t="s">
        <v>73</v>
      </c>
      <c r="B8" s="13"/>
      <c r="C8" s="13" t="s">
        <v>74</v>
      </c>
      <c r="D8" s="13" t="s">
        <v>72</v>
      </c>
      <c r="E8" s="13"/>
      <c r="F8" s="13" t="s">
        <v>25</v>
      </c>
      <c r="G8" s="13"/>
      <c r="H8" s="13" t="s">
        <v>14</v>
      </c>
      <c r="I8" s="13" t="s">
        <v>49</v>
      </c>
      <c r="J8" s="13"/>
    </row>
    <row r="9" customFormat="false" ht="15" hidden="false" customHeight="true" outlineLevel="0" collapsed="false">
      <c r="A9" s="13" t="s">
        <v>75</v>
      </c>
      <c r="B9" s="13"/>
      <c r="C9" s="13" t="s">
        <v>76</v>
      </c>
      <c r="D9" s="13" t="s">
        <v>77</v>
      </c>
      <c r="E9" s="13"/>
      <c r="F9" s="13" t="s">
        <v>25</v>
      </c>
      <c r="G9" s="13"/>
      <c r="H9" s="13" t="s">
        <v>14</v>
      </c>
      <c r="I9" s="13" t="s">
        <v>49</v>
      </c>
      <c r="J9" s="13"/>
    </row>
    <row r="10" customFormat="false" ht="15" hidden="false" customHeight="true" outlineLevel="0" collapsed="false">
      <c r="A10" s="13" t="s">
        <v>78</v>
      </c>
      <c r="B10" s="13" t="s">
        <v>79</v>
      </c>
      <c r="C10" s="13" t="s">
        <v>80</v>
      </c>
      <c r="D10" s="13" t="s">
        <v>81</v>
      </c>
      <c r="E10" s="13"/>
      <c r="F10" s="13" t="s">
        <v>24</v>
      </c>
      <c r="G10" s="13"/>
      <c r="H10" s="13" t="s">
        <v>14</v>
      </c>
      <c r="I10" s="13" t="s">
        <v>49</v>
      </c>
      <c r="J10" s="13"/>
    </row>
    <row r="11" customFormat="false" ht="15" hidden="false" customHeight="true" outlineLevel="0" collapsed="false">
      <c r="A11" s="13" t="s">
        <v>82</v>
      </c>
      <c r="B11" s="13"/>
      <c r="C11" s="13" t="s">
        <v>83</v>
      </c>
      <c r="D11" s="13" t="s">
        <v>84</v>
      </c>
      <c r="E11" s="13"/>
      <c r="F11" s="13" t="s">
        <v>25</v>
      </c>
      <c r="G11" s="13"/>
      <c r="H11" s="13" t="s">
        <v>14</v>
      </c>
      <c r="I11" s="13" t="s">
        <v>49</v>
      </c>
      <c r="J11" s="13"/>
    </row>
    <row r="12" customFormat="false" ht="15" hidden="false" customHeight="true" outlineLevel="0" collapsed="false">
      <c r="A12" s="13" t="s">
        <v>85</v>
      </c>
      <c r="B12" s="13"/>
      <c r="C12" s="13" t="s">
        <v>86</v>
      </c>
      <c r="D12" s="13" t="s">
        <v>87</v>
      </c>
      <c r="E12" s="13"/>
      <c r="F12" s="13" t="s">
        <v>25</v>
      </c>
      <c r="G12" s="13"/>
      <c r="H12" s="13" t="s">
        <v>14</v>
      </c>
      <c r="I12" s="13" t="s">
        <v>49</v>
      </c>
      <c r="J12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26"/>
    <col collapsed="false" customWidth="true" hidden="false" outlineLevel="0" max="7" min="7" style="1" width="30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26"/>
  </cols>
  <sheetData>
    <row r="1" customFormat="false" ht="15" hidden="false" customHeight="true" outlineLevel="0" collapsed="false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13</v>
      </c>
      <c r="G1" s="12" t="s">
        <v>41</v>
      </c>
      <c r="H1" s="12" t="s">
        <v>11</v>
      </c>
      <c r="I1" s="12" t="s">
        <v>42</v>
      </c>
      <c r="J1" s="12" t="s">
        <v>43</v>
      </c>
    </row>
    <row r="2" customFormat="false" ht="15" hidden="false" customHeight="true" outlineLevel="0" collapsed="false">
      <c r="A2" s="13" t="s">
        <v>88</v>
      </c>
      <c r="B2" s="13" t="s">
        <v>89</v>
      </c>
      <c r="C2" s="13" t="s">
        <v>90</v>
      </c>
      <c r="D2" s="13" t="s">
        <v>91</v>
      </c>
      <c r="E2" s="13" t="s">
        <v>92</v>
      </c>
      <c r="F2" s="13" t="s">
        <v>19</v>
      </c>
      <c r="G2" s="13" t="s">
        <v>93</v>
      </c>
      <c r="H2" s="13" t="s">
        <v>16</v>
      </c>
      <c r="I2" s="13" t="s">
        <v>94</v>
      </c>
      <c r="J2" s="13"/>
    </row>
    <row r="3" customFormat="false" ht="15" hidden="false" customHeight="true" outlineLevel="0" collapsed="false">
      <c r="A3" s="13" t="s">
        <v>95</v>
      </c>
      <c r="B3" s="13"/>
      <c r="C3" s="13" t="s">
        <v>96</v>
      </c>
      <c r="D3" s="13" t="s">
        <v>97</v>
      </c>
      <c r="E3" s="13"/>
      <c r="F3" s="13" t="s">
        <v>20</v>
      </c>
      <c r="G3" s="13" t="s">
        <v>98</v>
      </c>
      <c r="H3" s="13" t="s">
        <v>16</v>
      </c>
      <c r="I3" s="13" t="s">
        <v>94</v>
      </c>
      <c r="J3" s="13"/>
    </row>
    <row r="4" customFormat="false" ht="15" hidden="false" customHeight="true" outlineLevel="0" collapsed="false">
      <c r="A4" s="13" t="s">
        <v>99</v>
      </c>
      <c r="B4" s="13" t="s">
        <v>100</v>
      </c>
      <c r="C4" s="13" t="s">
        <v>101</v>
      </c>
      <c r="D4" s="13" t="s">
        <v>102</v>
      </c>
      <c r="E4" s="13" t="s">
        <v>103</v>
      </c>
      <c r="F4" s="13"/>
      <c r="G4" s="13"/>
      <c r="H4" s="13" t="s">
        <v>16</v>
      </c>
      <c r="I4" s="13" t="s">
        <v>94</v>
      </c>
      <c r="J4" s="13"/>
    </row>
    <row r="5" customFormat="false" ht="15" hidden="false" customHeight="true" outlineLevel="0" collapsed="false">
      <c r="A5" s="13" t="s">
        <v>104</v>
      </c>
      <c r="B5" s="13" t="s">
        <v>105</v>
      </c>
      <c r="C5" s="13" t="s">
        <v>106</v>
      </c>
      <c r="D5" s="13" t="s">
        <v>107</v>
      </c>
      <c r="E5" s="13" t="s">
        <v>108</v>
      </c>
      <c r="F5" s="13" t="s">
        <v>19</v>
      </c>
      <c r="G5" s="13" t="s">
        <v>109</v>
      </c>
      <c r="H5" s="13" t="s">
        <v>16</v>
      </c>
      <c r="I5" s="13" t="s">
        <v>94</v>
      </c>
      <c r="J5" s="13"/>
    </row>
    <row r="6" customFormat="false" ht="15" hidden="false" customHeight="true" outlineLevel="0" collapsed="false">
      <c r="A6" s="13" t="s">
        <v>110</v>
      </c>
      <c r="B6" s="13" t="s">
        <v>111</v>
      </c>
      <c r="C6" s="13" t="s">
        <v>112</v>
      </c>
      <c r="D6" s="13" t="s">
        <v>113</v>
      </c>
      <c r="E6" s="13" t="s">
        <v>114</v>
      </c>
      <c r="F6" s="13" t="s">
        <v>23</v>
      </c>
      <c r="G6" s="13" t="s">
        <v>115</v>
      </c>
      <c r="H6" s="13" t="s">
        <v>16</v>
      </c>
      <c r="I6" s="13" t="s">
        <v>94</v>
      </c>
      <c r="J6" s="13"/>
    </row>
    <row r="7" customFormat="false" ht="15" hidden="false" customHeight="true" outlineLevel="0" collapsed="false">
      <c r="A7" s="13" t="s">
        <v>116</v>
      </c>
      <c r="B7" s="13" t="s">
        <v>117</v>
      </c>
      <c r="C7" s="13" t="s">
        <v>118</v>
      </c>
      <c r="D7" s="13" t="s">
        <v>119</v>
      </c>
      <c r="E7" s="13" t="s">
        <v>120</v>
      </c>
      <c r="F7" s="13" t="s">
        <v>25</v>
      </c>
      <c r="G7" s="13" t="s">
        <v>121</v>
      </c>
      <c r="H7" s="13" t="s">
        <v>16</v>
      </c>
      <c r="I7" s="13" t="s">
        <v>94</v>
      </c>
      <c r="J7" s="13"/>
    </row>
    <row r="8" customFormat="false" ht="15" hidden="false" customHeight="true" outlineLevel="0" collapsed="false">
      <c r="A8" s="13" t="s">
        <v>122</v>
      </c>
      <c r="B8" s="13" t="s">
        <v>123</v>
      </c>
      <c r="C8" s="13" t="s">
        <v>124</v>
      </c>
      <c r="D8" s="13" t="s">
        <v>125</v>
      </c>
      <c r="E8" s="13" t="s">
        <v>126</v>
      </c>
      <c r="F8" s="13" t="s">
        <v>23</v>
      </c>
      <c r="G8" s="13" t="s">
        <v>127</v>
      </c>
      <c r="H8" s="13" t="s">
        <v>16</v>
      </c>
      <c r="I8" s="13" t="s">
        <v>94</v>
      </c>
      <c r="J8" s="13"/>
    </row>
    <row r="9" customFormat="false" ht="15" hidden="false" customHeight="true" outlineLevel="0" collapsed="false">
      <c r="A9" s="13" t="s">
        <v>128</v>
      </c>
      <c r="B9" s="13" t="s">
        <v>129</v>
      </c>
      <c r="C9" s="13" t="s">
        <v>130</v>
      </c>
      <c r="D9" s="13" t="s">
        <v>131</v>
      </c>
      <c r="E9" s="13"/>
      <c r="F9" s="13" t="s">
        <v>24</v>
      </c>
      <c r="G9" s="13" t="s">
        <v>132</v>
      </c>
      <c r="H9" s="13" t="s">
        <v>16</v>
      </c>
      <c r="I9" s="13" t="s">
        <v>49</v>
      </c>
      <c r="J9" s="13" t="s">
        <v>69</v>
      </c>
    </row>
    <row r="10" customFormat="false" ht="15" hidden="false" customHeight="true" outlineLevel="0" collapsed="false">
      <c r="A10" s="13" t="s">
        <v>133</v>
      </c>
      <c r="B10" s="13"/>
      <c r="C10" s="13" t="s">
        <v>134</v>
      </c>
      <c r="D10" s="13" t="s">
        <v>135</v>
      </c>
      <c r="E10" s="13"/>
      <c r="F10" s="13" t="s">
        <v>25</v>
      </c>
      <c r="G10" s="13"/>
      <c r="H10" s="13" t="s">
        <v>16</v>
      </c>
      <c r="I10" s="13" t="s">
        <v>94</v>
      </c>
      <c r="J10" s="13"/>
    </row>
    <row r="11" customFormat="false" ht="15" hidden="false" customHeight="true" outlineLevel="0" collapsed="false">
      <c r="A11" s="13" t="s">
        <v>136</v>
      </c>
      <c r="B11" s="13" t="s">
        <v>137</v>
      </c>
      <c r="C11" s="13" t="s">
        <v>138</v>
      </c>
      <c r="D11" s="13" t="s">
        <v>139</v>
      </c>
      <c r="E11" s="13"/>
      <c r="F11" s="13" t="s">
        <v>23</v>
      </c>
      <c r="G11" s="13" t="s">
        <v>140</v>
      </c>
      <c r="H11" s="13" t="s">
        <v>18</v>
      </c>
      <c r="I11" s="13"/>
      <c r="J11" s="13" t="s">
        <v>69</v>
      </c>
    </row>
    <row r="12" customFormat="false" ht="15" hidden="false" customHeight="true" outlineLevel="0" collapsed="false">
      <c r="A12" s="13" t="s">
        <v>141</v>
      </c>
      <c r="B12" s="13" t="s">
        <v>142</v>
      </c>
      <c r="C12" s="13" t="s">
        <v>143</v>
      </c>
      <c r="D12" s="13" t="s">
        <v>144</v>
      </c>
      <c r="E12" s="13" t="s">
        <v>145</v>
      </c>
      <c r="F12" s="13" t="s">
        <v>19</v>
      </c>
      <c r="G12" s="13" t="s">
        <v>146</v>
      </c>
      <c r="H12" s="13" t="s">
        <v>16</v>
      </c>
      <c r="I12" s="13" t="s">
        <v>94</v>
      </c>
      <c r="J12" s="13"/>
    </row>
    <row r="13" customFormat="false" ht="15" hidden="false" customHeight="true" outlineLevel="0" collapsed="false">
      <c r="A13" s="13" t="s">
        <v>147</v>
      </c>
      <c r="B13" s="13" t="s">
        <v>148</v>
      </c>
      <c r="C13" s="13" t="s">
        <v>149</v>
      </c>
      <c r="D13" s="13" t="s">
        <v>150</v>
      </c>
      <c r="E13" s="13" t="s">
        <v>151</v>
      </c>
      <c r="F13" s="13" t="s">
        <v>15</v>
      </c>
      <c r="G13" s="13" t="s">
        <v>152</v>
      </c>
      <c r="H13" s="13" t="s">
        <v>16</v>
      </c>
      <c r="I13" s="13" t="s">
        <v>94</v>
      </c>
      <c r="J13" s="13"/>
    </row>
    <row r="14" customFormat="false" ht="15" hidden="false" customHeight="true" outlineLevel="0" collapsed="false">
      <c r="A14" s="13" t="s">
        <v>153</v>
      </c>
      <c r="B14" s="13"/>
      <c r="C14" s="13" t="s">
        <v>154</v>
      </c>
      <c r="D14" s="13" t="s">
        <v>155</v>
      </c>
      <c r="E14" s="13"/>
      <c r="F14" s="13" t="s">
        <v>25</v>
      </c>
      <c r="G14" s="13"/>
      <c r="H14" s="13" t="s">
        <v>16</v>
      </c>
      <c r="I14" s="13" t="s">
        <v>94</v>
      </c>
      <c r="J14" s="13"/>
    </row>
    <row r="15" customFormat="false" ht="15" hidden="false" customHeight="true" outlineLevel="0" collapsed="false">
      <c r="A15" s="13" t="s">
        <v>156</v>
      </c>
      <c r="B15" s="13" t="s">
        <v>157</v>
      </c>
      <c r="C15" s="13" t="s">
        <v>158</v>
      </c>
      <c r="D15" s="13" t="s">
        <v>159</v>
      </c>
      <c r="E15" s="13" t="s">
        <v>160</v>
      </c>
      <c r="F15" s="13" t="s">
        <v>19</v>
      </c>
      <c r="G15" s="13" t="s">
        <v>146</v>
      </c>
      <c r="H15" s="13" t="s">
        <v>16</v>
      </c>
      <c r="I15" s="13" t="s">
        <v>94</v>
      </c>
      <c r="J15" s="13"/>
    </row>
    <row r="16" customFormat="false" ht="15" hidden="false" customHeight="true" outlineLevel="0" collapsed="false">
      <c r="A16" s="13" t="s">
        <v>161</v>
      </c>
      <c r="B16" s="13" t="s">
        <v>162</v>
      </c>
      <c r="C16" s="13" t="s">
        <v>163</v>
      </c>
      <c r="D16" s="13" t="s">
        <v>164</v>
      </c>
      <c r="E16" s="13" t="s">
        <v>165</v>
      </c>
      <c r="F16" s="13" t="s">
        <v>25</v>
      </c>
      <c r="G16" s="13" t="s">
        <v>166</v>
      </c>
      <c r="H16" s="13" t="s">
        <v>16</v>
      </c>
      <c r="I16" s="13" t="s">
        <v>94</v>
      </c>
      <c r="J16" s="13"/>
    </row>
    <row r="17" customFormat="false" ht="15" hidden="false" customHeight="true" outlineLevel="0" collapsed="false">
      <c r="A17" s="13" t="s">
        <v>167</v>
      </c>
      <c r="B17" s="13" t="s">
        <v>168</v>
      </c>
      <c r="C17" s="13" t="s">
        <v>169</v>
      </c>
      <c r="D17" s="13" t="s">
        <v>170</v>
      </c>
      <c r="E17" s="13" t="s">
        <v>171</v>
      </c>
      <c r="F17" s="13" t="s">
        <v>19</v>
      </c>
      <c r="G17" s="13" t="s">
        <v>172</v>
      </c>
      <c r="H17" s="13" t="s">
        <v>16</v>
      </c>
      <c r="I17" s="13" t="s">
        <v>94</v>
      </c>
      <c r="J17" s="13"/>
    </row>
    <row r="18" customFormat="false" ht="15" hidden="false" customHeight="true" outlineLevel="0" collapsed="false">
      <c r="A18" s="13" t="s">
        <v>173</v>
      </c>
      <c r="B18" s="13"/>
      <c r="C18" s="13" t="s">
        <v>174</v>
      </c>
      <c r="D18" s="13" t="s">
        <v>175</v>
      </c>
      <c r="E18" s="13"/>
      <c r="F18" s="13" t="s">
        <v>25</v>
      </c>
      <c r="G18" s="13"/>
      <c r="H18" s="13" t="s">
        <v>16</v>
      </c>
      <c r="I18" s="13" t="s">
        <v>94</v>
      </c>
      <c r="J18" s="13"/>
    </row>
    <row r="19" customFormat="false" ht="15" hidden="false" customHeight="true" outlineLevel="0" collapsed="false">
      <c r="A19" s="13" t="s">
        <v>176</v>
      </c>
      <c r="B19" s="13" t="s">
        <v>177</v>
      </c>
      <c r="C19" s="13" t="s">
        <v>178</v>
      </c>
      <c r="D19" s="13" t="s">
        <v>179</v>
      </c>
      <c r="E19" s="13" t="s">
        <v>180</v>
      </c>
      <c r="F19" s="13" t="s">
        <v>17</v>
      </c>
      <c r="G19" s="13" t="s">
        <v>181</v>
      </c>
      <c r="H19" s="13" t="s">
        <v>16</v>
      </c>
      <c r="I19" s="13" t="s">
        <v>94</v>
      </c>
      <c r="J19" s="13"/>
    </row>
    <row r="20" customFormat="false" ht="15" hidden="false" customHeight="true" outlineLevel="0" collapsed="false">
      <c r="A20" s="13" t="s">
        <v>182</v>
      </c>
      <c r="B20" s="13" t="s">
        <v>183</v>
      </c>
      <c r="C20" s="13" t="s">
        <v>184</v>
      </c>
      <c r="D20" s="13" t="s">
        <v>185</v>
      </c>
      <c r="E20" s="13" t="s">
        <v>186</v>
      </c>
      <c r="F20" s="13" t="s">
        <v>19</v>
      </c>
      <c r="G20" s="13" t="s">
        <v>187</v>
      </c>
      <c r="H20" s="13" t="s">
        <v>16</v>
      </c>
      <c r="I20" s="13" t="s">
        <v>94</v>
      </c>
      <c r="J20" s="13"/>
    </row>
    <row r="21" customFormat="false" ht="15" hidden="false" customHeight="true" outlineLevel="0" collapsed="false">
      <c r="A21" s="13" t="s">
        <v>188</v>
      </c>
      <c r="B21" s="13" t="s">
        <v>189</v>
      </c>
      <c r="C21" s="13" t="s">
        <v>190</v>
      </c>
      <c r="D21" s="13" t="s">
        <v>191</v>
      </c>
      <c r="E21" s="13" t="s">
        <v>192</v>
      </c>
      <c r="F21" s="13" t="s">
        <v>20</v>
      </c>
      <c r="G21" s="13"/>
      <c r="H21" s="13" t="s">
        <v>16</v>
      </c>
      <c r="I21" s="13" t="s">
        <v>94</v>
      </c>
      <c r="J21" s="13"/>
    </row>
    <row r="22" customFormat="false" ht="15" hidden="false" customHeight="true" outlineLevel="0" collapsed="false">
      <c r="A22" s="13" t="s">
        <v>193</v>
      </c>
      <c r="B22" s="13"/>
      <c r="C22" s="13" t="s">
        <v>194</v>
      </c>
      <c r="D22" s="13" t="s">
        <v>195</v>
      </c>
      <c r="E22" s="13"/>
      <c r="F22" s="13" t="s">
        <v>25</v>
      </c>
      <c r="G22" s="13"/>
      <c r="H22" s="13" t="s">
        <v>16</v>
      </c>
      <c r="I22" s="13" t="s">
        <v>94</v>
      </c>
      <c r="J22" s="13"/>
    </row>
    <row r="23" customFormat="false" ht="15" hidden="false" customHeight="true" outlineLevel="0" collapsed="false">
      <c r="A23" s="13" t="s">
        <v>196</v>
      </c>
      <c r="B23" s="13"/>
      <c r="C23" s="13" t="s">
        <v>197</v>
      </c>
      <c r="D23" s="13" t="s">
        <v>198</v>
      </c>
      <c r="E23" s="13"/>
      <c r="F23" s="13" t="s">
        <v>23</v>
      </c>
      <c r="G23" s="13" t="s">
        <v>199</v>
      </c>
      <c r="H23" s="13" t="s">
        <v>16</v>
      </c>
      <c r="I23" s="13" t="s">
        <v>94</v>
      </c>
      <c r="J23" s="13"/>
    </row>
    <row r="24" customFormat="false" ht="15" hidden="false" customHeight="true" outlineLevel="0" collapsed="false">
      <c r="A24" s="13" t="s">
        <v>200</v>
      </c>
      <c r="B24" s="13" t="s">
        <v>201</v>
      </c>
      <c r="C24" s="13" t="s">
        <v>202</v>
      </c>
      <c r="D24" s="13" t="s">
        <v>203</v>
      </c>
      <c r="E24" s="13" t="s">
        <v>204</v>
      </c>
      <c r="F24" s="13" t="s">
        <v>17</v>
      </c>
      <c r="G24" s="13" t="s">
        <v>205</v>
      </c>
      <c r="H24" s="13" t="s">
        <v>16</v>
      </c>
      <c r="I24" s="13" t="s">
        <v>94</v>
      </c>
      <c r="J24" s="13"/>
    </row>
    <row r="25" customFormat="false" ht="15" hidden="false" customHeight="true" outlineLevel="0" collapsed="false">
      <c r="A25" s="13" t="s">
        <v>206</v>
      </c>
      <c r="B25" s="13" t="s">
        <v>207</v>
      </c>
      <c r="C25" s="13" t="s">
        <v>208</v>
      </c>
      <c r="D25" s="13" t="s">
        <v>209</v>
      </c>
      <c r="E25" s="13" t="s">
        <v>210</v>
      </c>
      <c r="F25" s="13" t="s">
        <v>23</v>
      </c>
      <c r="G25" s="13" t="s">
        <v>211</v>
      </c>
      <c r="H25" s="13" t="s">
        <v>16</v>
      </c>
      <c r="I25" s="13" t="s">
        <v>94</v>
      </c>
      <c r="J25" s="13"/>
    </row>
    <row r="26" customFormat="false" ht="15" hidden="false" customHeight="true" outlineLevel="0" collapsed="false">
      <c r="A26" s="13" t="s">
        <v>212</v>
      </c>
      <c r="B26" s="13" t="s">
        <v>213</v>
      </c>
      <c r="C26" s="13" t="s">
        <v>214</v>
      </c>
      <c r="D26" s="13" t="s">
        <v>215</v>
      </c>
      <c r="E26" s="13" t="s">
        <v>216</v>
      </c>
      <c r="F26" s="13" t="s">
        <v>23</v>
      </c>
      <c r="G26" s="13" t="s">
        <v>217</v>
      </c>
      <c r="H26" s="13" t="s">
        <v>16</v>
      </c>
      <c r="I26" s="13" t="s">
        <v>94</v>
      </c>
      <c r="J26" s="13"/>
    </row>
    <row r="27" customFormat="false" ht="15" hidden="false" customHeight="true" outlineLevel="0" collapsed="false">
      <c r="A27" s="13" t="s">
        <v>218</v>
      </c>
      <c r="B27" s="13" t="s">
        <v>219</v>
      </c>
      <c r="C27" s="13" t="s">
        <v>220</v>
      </c>
      <c r="D27" s="13" t="s">
        <v>221</v>
      </c>
      <c r="E27" s="13" t="s">
        <v>222</v>
      </c>
      <c r="F27" s="13" t="s">
        <v>21</v>
      </c>
      <c r="G27" s="13"/>
      <c r="H27" s="13" t="s">
        <v>16</v>
      </c>
      <c r="I27" s="13" t="s">
        <v>94</v>
      </c>
      <c r="J27" s="13"/>
    </row>
    <row r="28" customFormat="false" ht="15" hidden="false" customHeight="true" outlineLevel="0" collapsed="false">
      <c r="A28" s="13" t="s">
        <v>223</v>
      </c>
      <c r="B28" s="13" t="s">
        <v>224</v>
      </c>
      <c r="C28" s="13" t="s">
        <v>225</v>
      </c>
      <c r="D28" s="13" t="s">
        <v>226</v>
      </c>
      <c r="E28" s="13" t="s">
        <v>227</v>
      </c>
      <c r="F28" s="13" t="s">
        <v>24</v>
      </c>
      <c r="G28" s="13" t="s">
        <v>228</v>
      </c>
      <c r="H28" s="13" t="s">
        <v>16</v>
      </c>
      <c r="I28" s="13" t="s">
        <v>94</v>
      </c>
      <c r="J28" s="13"/>
    </row>
    <row r="29" customFormat="false" ht="15" hidden="false" customHeight="true" outlineLevel="0" collapsed="false">
      <c r="A29" s="13" t="s">
        <v>229</v>
      </c>
      <c r="B29" s="13" t="s">
        <v>230</v>
      </c>
      <c r="C29" s="13" t="s">
        <v>231</v>
      </c>
      <c r="D29" s="13" t="s">
        <v>232</v>
      </c>
      <c r="E29" s="13"/>
      <c r="F29" s="13" t="s">
        <v>25</v>
      </c>
      <c r="G29" s="13" t="s">
        <v>166</v>
      </c>
      <c r="H29" s="13" t="s">
        <v>233</v>
      </c>
      <c r="I29" s="13"/>
      <c r="J29" s="13" t="s">
        <v>69</v>
      </c>
    </row>
    <row r="30" customFormat="false" ht="15" hidden="false" customHeight="true" outlineLevel="0" collapsed="false">
      <c r="A30" s="13" t="s">
        <v>234</v>
      </c>
      <c r="B30" s="13" t="s">
        <v>235</v>
      </c>
      <c r="C30" s="13" t="s">
        <v>236</v>
      </c>
      <c r="D30" s="13" t="s">
        <v>237</v>
      </c>
      <c r="E30" s="13"/>
      <c r="F30" s="13" t="s">
        <v>21</v>
      </c>
      <c r="G30" s="13" t="s">
        <v>238</v>
      </c>
      <c r="H30" s="13" t="s">
        <v>233</v>
      </c>
      <c r="I30" s="13"/>
      <c r="J30" s="13" t="s">
        <v>69</v>
      </c>
    </row>
    <row r="31" customFormat="false" ht="15" hidden="false" customHeight="true" outlineLevel="0" collapsed="false">
      <c r="A31" s="13" t="s">
        <v>239</v>
      </c>
      <c r="B31" s="13" t="s">
        <v>240</v>
      </c>
      <c r="C31" s="13" t="s">
        <v>241</v>
      </c>
      <c r="D31" s="13" t="s">
        <v>237</v>
      </c>
      <c r="E31" s="13" t="s">
        <v>242</v>
      </c>
      <c r="F31" s="13" t="s">
        <v>21</v>
      </c>
      <c r="G31" s="13" t="s">
        <v>238</v>
      </c>
      <c r="H31" s="13" t="s">
        <v>16</v>
      </c>
      <c r="I31" s="13" t="s">
        <v>94</v>
      </c>
      <c r="J31" s="13"/>
    </row>
    <row r="32" customFormat="false" ht="15" hidden="false" customHeight="true" outlineLevel="0" collapsed="false">
      <c r="A32" s="13" t="s">
        <v>243</v>
      </c>
      <c r="B32" s="13"/>
      <c r="C32" s="13" t="s">
        <v>244</v>
      </c>
      <c r="D32" s="13" t="s">
        <v>245</v>
      </c>
      <c r="E32" s="13"/>
      <c r="F32" s="13" t="s">
        <v>23</v>
      </c>
      <c r="G32" s="13" t="s">
        <v>246</v>
      </c>
      <c r="H32" s="13" t="s">
        <v>16</v>
      </c>
      <c r="I32" s="13" t="s">
        <v>94</v>
      </c>
      <c r="J32" s="13"/>
    </row>
    <row r="33" customFormat="false" ht="15" hidden="false" customHeight="true" outlineLevel="0" collapsed="false">
      <c r="A33" s="13" t="s">
        <v>247</v>
      </c>
      <c r="B33" s="13" t="s">
        <v>248</v>
      </c>
      <c r="C33" s="13" t="s">
        <v>249</v>
      </c>
      <c r="D33" s="13" t="s">
        <v>250</v>
      </c>
      <c r="E33" s="13" t="s">
        <v>251</v>
      </c>
      <c r="F33" s="13" t="s">
        <v>21</v>
      </c>
      <c r="G33" s="13" t="s">
        <v>252</v>
      </c>
      <c r="H33" s="13" t="s">
        <v>16</v>
      </c>
      <c r="I33" s="13" t="s">
        <v>94</v>
      </c>
      <c r="J33" s="13"/>
    </row>
    <row r="34" customFormat="false" ht="15" hidden="false" customHeight="true" outlineLevel="0" collapsed="false">
      <c r="A34" s="13" t="s">
        <v>253</v>
      </c>
      <c r="B34" s="13" t="s">
        <v>254</v>
      </c>
      <c r="C34" s="13" t="s">
        <v>255</v>
      </c>
      <c r="D34" s="13" t="s">
        <v>256</v>
      </c>
      <c r="E34" s="13" t="s">
        <v>257</v>
      </c>
      <c r="F34" s="13" t="s">
        <v>26</v>
      </c>
      <c r="G34" s="13"/>
      <c r="H34" s="13" t="s">
        <v>16</v>
      </c>
      <c r="I34" s="13"/>
      <c r="J34" s="13"/>
    </row>
    <row r="35" customFormat="false" ht="15" hidden="false" customHeight="true" outlineLevel="0" collapsed="false">
      <c r="A35" s="13" t="s">
        <v>258</v>
      </c>
      <c r="B35" s="13" t="s">
        <v>259</v>
      </c>
      <c r="C35" s="13" t="s">
        <v>260</v>
      </c>
      <c r="D35" s="13" t="s">
        <v>261</v>
      </c>
      <c r="E35" s="13" t="s">
        <v>262</v>
      </c>
      <c r="F35" s="13" t="s">
        <v>26</v>
      </c>
      <c r="G35" s="13"/>
      <c r="H35" s="13" t="s">
        <v>16</v>
      </c>
      <c r="I35" s="13"/>
      <c r="J35" s="13"/>
    </row>
    <row r="36" customFormat="false" ht="15" hidden="false" customHeight="true" outlineLevel="0" collapsed="false">
      <c r="A36" s="13" t="s">
        <v>263</v>
      </c>
      <c r="B36" s="13" t="s">
        <v>264</v>
      </c>
      <c r="C36" s="13" t="s">
        <v>265</v>
      </c>
      <c r="D36" s="13" t="s">
        <v>261</v>
      </c>
      <c r="E36" s="13"/>
      <c r="F36" s="13" t="s">
        <v>26</v>
      </c>
      <c r="G36" s="13"/>
      <c r="H36" s="13" t="s">
        <v>18</v>
      </c>
      <c r="I36" s="13"/>
      <c r="J36" s="13" t="s">
        <v>69</v>
      </c>
    </row>
    <row r="37" customFormat="false" ht="15" hidden="false" customHeight="true" outlineLevel="0" collapsed="false">
      <c r="A37" s="13" t="s">
        <v>266</v>
      </c>
      <c r="B37" s="13" t="s">
        <v>267</v>
      </c>
      <c r="C37" s="13" t="s">
        <v>268</v>
      </c>
      <c r="D37" s="13" t="s">
        <v>269</v>
      </c>
      <c r="E37" s="13" t="s">
        <v>270</v>
      </c>
      <c r="F37" s="13" t="s">
        <v>27</v>
      </c>
      <c r="G37" s="13" t="s">
        <v>271</v>
      </c>
      <c r="H37" s="13" t="s">
        <v>16</v>
      </c>
      <c r="I37" s="13" t="s">
        <v>94</v>
      </c>
      <c r="J37" s="13"/>
    </row>
    <row r="38" customFormat="false" ht="15" hidden="false" customHeight="true" outlineLevel="0" collapsed="false">
      <c r="A38" s="13" t="s">
        <v>272</v>
      </c>
      <c r="B38" s="13"/>
      <c r="C38" s="13" t="s">
        <v>273</v>
      </c>
      <c r="D38" s="13" t="s">
        <v>274</v>
      </c>
      <c r="E38" s="13"/>
      <c r="F38" s="13" t="s">
        <v>24</v>
      </c>
      <c r="G38" s="13" t="s">
        <v>275</v>
      </c>
      <c r="H38" s="13" t="s">
        <v>16</v>
      </c>
      <c r="I38" s="13" t="s">
        <v>94</v>
      </c>
      <c r="J38" s="13"/>
    </row>
    <row r="39" customFormat="false" ht="15" hidden="false" customHeight="true" outlineLevel="0" collapsed="false">
      <c r="A39" s="13" t="s">
        <v>276</v>
      </c>
      <c r="B39" s="13" t="s">
        <v>235</v>
      </c>
      <c r="C39" s="13" t="s">
        <v>277</v>
      </c>
      <c r="D39" s="13" t="s">
        <v>278</v>
      </c>
      <c r="E39" s="13"/>
      <c r="F39" s="13" t="s">
        <v>20</v>
      </c>
      <c r="G39" s="13"/>
      <c r="H39" s="13" t="s">
        <v>233</v>
      </c>
      <c r="I39" s="13"/>
      <c r="J39" s="13" t="s">
        <v>69</v>
      </c>
    </row>
    <row r="40" customFormat="false" ht="15" hidden="false" customHeight="true" outlineLevel="0" collapsed="false">
      <c r="A40" s="13" t="s">
        <v>279</v>
      </c>
      <c r="B40" s="13" t="s">
        <v>26</v>
      </c>
      <c r="C40" s="13" t="s">
        <v>280</v>
      </c>
      <c r="D40" s="13" t="s">
        <v>281</v>
      </c>
      <c r="E40" s="13" t="s">
        <v>63</v>
      </c>
      <c r="F40" s="13" t="s">
        <v>26</v>
      </c>
      <c r="G40" s="13"/>
      <c r="H40" s="13" t="s">
        <v>16</v>
      </c>
      <c r="I40" s="13"/>
      <c r="J40" s="13"/>
    </row>
    <row r="41" customFormat="false" ht="15" hidden="false" customHeight="true" outlineLevel="0" collapsed="false">
      <c r="A41" s="13" t="s">
        <v>282</v>
      </c>
      <c r="B41" s="13" t="s">
        <v>26</v>
      </c>
      <c r="C41" s="13" t="s">
        <v>283</v>
      </c>
      <c r="D41" s="13" t="s">
        <v>284</v>
      </c>
      <c r="E41" s="13" t="s">
        <v>63</v>
      </c>
      <c r="F41" s="13" t="s">
        <v>26</v>
      </c>
      <c r="G41" s="13"/>
      <c r="H41" s="13" t="s">
        <v>16</v>
      </c>
      <c r="I41" s="13"/>
      <c r="J41" s="13"/>
    </row>
    <row r="42" customFormat="false" ht="15" hidden="false" customHeight="true" outlineLevel="0" collapsed="false">
      <c r="A42" s="13" t="s">
        <v>285</v>
      </c>
      <c r="B42" s="13"/>
      <c r="C42" s="13" t="s">
        <v>286</v>
      </c>
      <c r="D42" s="13" t="s">
        <v>287</v>
      </c>
      <c r="E42" s="13"/>
      <c r="F42" s="13" t="s">
        <v>20</v>
      </c>
      <c r="G42" s="13"/>
      <c r="H42" s="13" t="s">
        <v>16</v>
      </c>
      <c r="I42" s="13" t="s">
        <v>94</v>
      </c>
      <c r="J42" s="13"/>
    </row>
    <row r="43" customFormat="false" ht="15" hidden="false" customHeight="true" outlineLevel="0" collapsed="false">
      <c r="A43" s="13" t="s">
        <v>288</v>
      </c>
      <c r="B43" s="13" t="s">
        <v>267</v>
      </c>
      <c r="C43" s="13" t="s">
        <v>268</v>
      </c>
      <c r="D43" s="13" t="s">
        <v>261</v>
      </c>
      <c r="E43" s="13" t="s">
        <v>289</v>
      </c>
      <c r="F43" s="13" t="s">
        <v>26</v>
      </c>
      <c r="G43" s="13"/>
      <c r="H43" s="13" t="s">
        <v>16</v>
      </c>
      <c r="I43" s="13" t="s">
        <v>94</v>
      </c>
      <c r="J43" s="13"/>
    </row>
    <row r="44" customFormat="false" ht="15" hidden="false" customHeight="true" outlineLevel="0" collapsed="false">
      <c r="A44" s="13" t="s">
        <v>290</v>
      </c>
      <c r="B44" s="13" t="s">
        <v>291</v>
      </c>
      <c r="C44" s="13" t="s">
        <v>292</v>
      </c>
      <c r="D44" s="13" t="s">
        <v>293</v>
      </c>
      <c r="E44" s="13" t="s">
        <v>294</v>
      </c>
      <c r="F44" s="13" t="s">
        <v>20</v>
      </c>
      <c r="G44" s="13"/>
      <c r="H44" s="13" t="s">
        <v>16</v>
      </c>
      <c r="I44" s="13" t="s">
        <v>94</v>
      </c>
      <c r="J44" s="13"/>
    </row>
    <row r="45" customFormat="false" ht="15" hidden="false" customHeight="true" outlineLevel="0" collapsed="false">
      <c r="A45" s="13" t="s">
        <v>295</v>
      </c>
      <c r="B45" s="13" t="s">
        <v>26</v>
      </c>
      <c r="C45" s="13" t="s">
        <v>296</v>
      </c>
      <c r="D45" s="13" t="s">
        <v>297</v>
      </c>
      <c r="E45" s="13" t="s">
        <v>298</v>
      </c>
      <c r="F45" s="13" t="s">
        <v>26</v>
      </c>
      <c r="G45" s="13"/>
      <c r="H45" s="13" t="s">
        <v>16</v>
      </c>
      <c r="I45" s="13"/>
      <c r="J4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2026-07-21T16:39:53Z</dcterms:created>
  <dc:creator>openpyxl</dc:creator>
  <dc:description/>
  <dc:language>en-US</dc:language>
  <cp:lastModifiedBy/>
  <dcterms:modified xsi:type="dcterms:W3CDTF">2026-07-21T16:58:54Z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